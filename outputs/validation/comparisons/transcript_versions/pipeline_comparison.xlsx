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1fa69e058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dce742ff24f78"/>
    <x:sheet xmlns:r="http://schemas.openxmlformats.org/officeDocument/2006/relationships" name="Participants" sheetId="2" r:id="Rf3fc8485a46b4b41"/>
    <x:sheet xmlns:r="http://schemas.openxmlformats.org/officeDocument/2006/relationships" name="Recordings" sheetId="3" r:id="R362a7d8d250e45d7"/>
    <x:sheet xmlns:r="http://schemas.openxmlformats.org/officeDocument/2006/relationships" name="Metric definitions" sheetId="4" r:id="Re8e3a6733666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b957af90d4976" /><Relationship Type="http://schemas.openxmlformats.org/officeDocument/2006/relationships/theme" Target="/xl/theme/theme1.xml" Id="Ra929f60b9b954f33" /><Relationship Type="http://schemas.openxmlformats.org/officeDocument/2006/relationships/sharedStrings" Target="/xl/sharedStrings.xml" Id="R18a33dfb63ff4fca" /><Relationship Type="http://schemas.openxmlformats.org/officeDocument/2006/relationships/worksheet" Target="/xl/worksheets/sheet1.xml" Id="R7fddce742ff24f78" /><Relationship Type="http://schemas.openxmlformats.org/officeDocument/2006/relationships/worksheet" Target="/xl/worksheets/sheet2.xml" Id="Rf3fc8485a46b4b41" /><Relationship Type="http://schemas.openxmlformats.org/officeDocument/2006/relationships/worksheet" Target="/xl/worksheets/sheet3.xml" Id="R362a7d8d250e45d7" /><Relationship Type="http://schemas.openxmlformats.org/officeDocument/2006/relationships/worksheet" Target="/xl/worksheets/sheet4.xml" Id="Re8e3a6733666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.329999923706055" hidden="0" customWidth="1"/>
    <x:col min="2" max="2" width="33.33000183105469" hidden="0" customWidth="1"/>
    <x:col min="3" max="3" width="17.219999313354492" hidden="0" customWidth="1"/>
    <x:col min="4" max="4" width="10" hidden="0" customWidth="1"/>
    <x:col min="5" max="5" width="10" hidden="0" customWidth="1"/>
  </x:cols>
  <x:sheetData>
    <x:row r="1">
      <x:c r="A1" s="4" t="str">
        <x:v>Metric</x:v>
      </x:c>
      <x:c r="B1" s="4" t="str">
        <x:v>Custom uncorrected mean</x:v>
      </x:c>
      <x:c r="C1" s="4" t="str">
        <x:v>Corrected reference mean</x:v>
      </x:c>
      <x:c r="D1" s="4" t="str">
        <x:v>MAPE</x:v>
      </x:c>
      <x:c r="E1" s="4" t="str">
        <x:v>Reference</x:v>
      </x:c>
    </x:row>
    <x:row r="2">
      <x:c r="A2" s="5" t="str">
        <x:v>basic_ntokens</x:v>
      </x:c>
      <x:c r="B2" s="6" t="n">
        <x:f>AVERAGEIF(Participants!$B$2:$B$211,A2,Participants!$C$2:$C$211)</x:f>
        <x:v>652.5833333333334</x:v>
      </x:c>
      <x:c r="C2" s="6" t="n">
        <x:f>AVERAGEIF(Participants!$B$2:$B$211,A2,Participants!$D$2:$D$211)</x:f>
        <x:v>649.0916666666666</x:v>
      </x:c>
      <x:c r="D2" s="7" t="n">
        <x:f>AVERAGEIF(Participants!$B$2:$B$211,A2,Participants!$E$2:$E$211)</x:f>
        <x:v>0.035085252190372326</x:v>
      </x:c>
      <x:c r="E2" s="5" t="str">
        <x:v>TAALED</x:v>
      </x:c>
    </x:row>
    <x:row r="3">
      <x:c r="A3" s="5" t="str">
        <x:v>basic_ntypes</x:v>
      </x:c>
      <x:c r="B3" s="6" t="n">
        <x:f>AVERAGEIF(Participants!$B$2:$B$211,A3,Participants!$C$2:$C$211)</x:f>
        <x:v>214.04166666666669</x:v>
      </x:c>
      <x:c r="C3" s="6" t="n">
        <x:f>AVERAGEIF(Participants!$B$2:$B$211,A3,Participants!$D$2:$D$211)</x:f>
        <x:v>216.6916666666667</x:v>
      </x:c>
      <x:c r="D3" s="7" t="n">
        <x:f>AVERAGEIF(Participants!$B$2:$B$211,A3,Participants!$E$2:$E$211)</x:f>
        <x:v>0.03014466527032874</x:v>
      </x:c>
      <x:c r="E3" s="5" t="str">
        <x:v>TAALED</x:v>
      </x:c>
    </x:row>
    <x:row r="4">
      <x:c r="A4" s="5" t="str">
        <x:v>basic_ncontent_tokens</x:v>
      </x:c>
      <x:c r="B4" s="6" t="n">
        <x:f>AVERAGEIF(Participants!$B$2:$B$211,A4,Participants!$C$2:$C$211)</x:f>
        <x:v>251.4416666666667</x:v>
      </x:c>
      <x:c r="C4" s="6" t="n">
        <x:f>AVERAGEIF(Participants!$B$2:$B$211,A4,Participants!$D$2:$D$211)</x:f>
        <x:v>255.58333333333331</x:v>
      </x:c>
      <x:c r="D4" s="7" t="n">
        <x:f>AVERAGEIF(Participants!$B$2:$B$211,A4,Participants!$E$2:$E$211)</x:f>
        <x:v>0.04180537352708211</x:v>
      </x:c>
      <x:c r="E4" s="5" t="str">
        <x:v>TAALED</x:v>
      </x:c>
    </x:row>
    <x:row r="5">
      <x:c r="A5" s="5" t="str">
        <x:v>basic_ncontent_types</x:v>
      </x:c>
      <x:c r="B5" s="6" t="n">
        <x:f>AVERAGEIF(Participants!$B$2:$B$211,A5,Participants!$C$2:$C$211)</x:f>
        <x:v>138.55833333333334</x:v>
      </x:c>
      <x:c r="C5" s="6" t="n">
        <x:f>AVERAGEIF(Participants!$B$2:$B$211,A5,Participants!$D$2:$D$211)</x:f>
        <x:v>140.53333333333336</x:v>
      </x:c>
      <x:c r="D5" s="7" t="n">
        <x:f>AVERAGEIF(Participants!$B$2:$B$211,A5,Participants!$E$2:$E$211)</x:f>
        <x:v>0.03221967618052476</x:v>
      </x:c>
      <x:c r="E5" s="5" t="str">
        <x:v>TAALED</x:v>
      </x:c>
    </x:row>
    <x:row r="6">
      <x:c r="A6" s="5" t="str">
        <x:v>basic_nfunction_tokens</x:v>
      </x:c>
      <x:c r="B6" s="6" t="n">
        <x:f>AVERAGEIF(Participants!$B$2:$B$211,A6,Participants!$C$2:$C$211)</x:f>
        <x:v>401.14166666666665</x:v>
      </x:c>
      <x:c r="C6" s="6" t="n">
        <x:f>AVERAGEIF(Participants!$B$2:$B$211,A6,Participants!$D$2:$D$211)</x:f>
        <x:v>393.5083333333333</x:v>
      </x:c>
      <x:c r="D6" s="7" t="n">
        <x:f>AVERAGEIF(Participants!$B$2:$B$211,A6,Participants!$E$2:$E$211)</x:f>
        <x:v>0.04342349243715517</x:v>
      </x:c>
      <x:c r="E6" s="5" t="str">
        <x:v>TAALED</x:v>
      </x:c>
    </x:row>
    <x:row r="7">
      <x:c r="A7" s="5" t="str">
        <x:v>basic_nfunction_types</x:v>
      </x:c>
      <x:c r="B7" s="6" t="n">
        <x:f>AVERAGEIF(Participants!$B$2:$B$211,A7,Participants!$C$2:$C$211)</x:f>
        <x:v>75.48333333333332</x:v>
      </x:c>
      <x:c r="C7" s="6" t="n">
        <x:f>AVERAGEIF(Participants!$B$2:$B$211,A7,Participants!$D$2:$D$211)</x:f>
        <x:v>76.15833333333333</x:v>
      </x:c>
      <x:c r="D7" s="7" t="n">
        <x:f>AVERAGEIF(Participants!$B$2:$B$211,A7,Participants!$E$2:$E$211)</x:f>
        <x:v>0.03188756723469046</x:v>
      </x:c>
      <x:c r="E7" s="5" t="str">
        <x:v>TAALED</x:v>
      </x:c>
    </x:row>
    <x:row r="8">
      <x:c r="A8" s="5" t="str">
        <x:v>lexical_density_tokens</x:v>
      </x:c>
      <x:c r="B8" s="6" t="n">
        <x:f>AVERAGEIF(Participants!$B$2:$B$211,A8,Participants!$C$2:$C$211)</x:f>
        <x:v>0.39470537659575694</x:v>
      </x:c>
      <x:c r="C8" s="6" t="n">
        <x:f>AVERAGEIF(Participants!$B$2:$B$211,A8,Participants!$D$2:$D$211)</x:f>
        <x:v>0.4036529929850842</x:v>
      </x:c>
      <x:c r="D8" s="7" t="n">
        <x:f>AVERAGEIF(Participants!$B$2:$B$211,A8,Participants!$E$2:$E$211)</x:f>
        <x:v>0.02820420821232561</x:v>
      </x:c>
      <x:c r="E8" s="5" t="str">
        <x:v>TAALED</x:v>
      </x:c>
    </x:row>
    <x:row r="9">
      <x:c r="A9" s="5" t="str">
        <x:v>lexical_density_types</x:v>
      </x:c>
      <x:c r="B9" s="6" t="n">
        <x:f>AVERAGEIF(Participants!$B$2:$B$211,A9,Participants!$C$2:$C$211)</x:f>
        <x:v>0.6259541338307189</x:v>
      </x:c>
      <x:c r="C9" s="6" t="n">
        <x:f>AVERAGEIF(Participants!$B$2:$B$211,A9,Participants!$D$2:$D$211)</x:f>
        <x:v>0.6291740215001657</x:v>
      </x:c>
      <x:c r="D9" s="7" t="n">
        <x:f>AVERAGEIF(Participants!$B$2:$B$211,A9,Participants!$E$2:$E$211)</x:f>
        <x:v>0.014315535812824668</x:v>
      </x:c>
      <x:c r="E9" s="5" t="str">
        <x:v>TAALED</x:v>
      </x:c>
    </x:row>
    <x:row r="10">
      <x:c r="A10" s="5" t="str">
        <x:v>simple_ttr_aw</x:v>
      </x:c>
      <x:c r="B10" s="6" t="n">
        <x:f>AVERAGEIF(Participants!$B$2:$B$211,A10,Participants!$C$2:$C$211)</x:f>
        <x:v>0.3655836098338067</x:v>
      </x:c>
      <x:c r="C10" s="6" t="n">
        <x:f>AVERAGEIF(Participants!$B$2:$B$211,A10,Participants!$D$2:$D$211)</x:f>
        <x:v>0.3706448186232974</x:v>
      </x:c>
      <x:c r="D10" s="7" t="n">
        <x:f>AVERAGEIF(Participants!$B$2:$B$211,A10,Participants!$E$2:$E$211)</x:f>
        <x:v>0.026911613100377235</x:v>
      </x:c>
      <x:c r="E10" s="5" t="str">
        <x:v>TAALED</x:v>
      </x:c>
    </x:row>
    <x:row r="11">
      <x:c r="A11" s="5" t="str">
        <x:v>root_ttr_aw</x:v>
      </x:c>
      <x:c r="B11" s="6" t="n">
        <x:f>AVERAGEIF(Participants!$B$2:$B$211,A11,Participants!$C$2:$C$211)</x:f>
        <x:v>8.341521097623835</x:v>
      </x:c>
      <x:c r="C11" s="6" t="n">
        <x:f>AVERAGEIF(Participants!$B$2:$B$211,A11,Participants!$D$2:$D$211)</x:f>
        <x:v>8.469165695281934</x:v>
      </x:c>
      <x:c r="D11" s="7" t="n">
        <x:f>AVERAGEIF(Participants!$B$2:$B$211,A11,Participants!$E$2:$E$211)</x:f>
        <x:v>0.022041479998650727</x:v>
      </x:c>
      <x:c r="E11" s="5" t="str">
        <x:v>TAALED</x:v>
      </x:c>
    </x:row>
    <x:row r="12">
      <x:c r="A12" s="5" t="str">
        <x:v>log_ttr_aw</x:v>
      </x:c>
      <x:c r="B12" s="6" t="n">
        <x:f>AVERAGEIF(Participants!$B$2:$B$211,A12,Participants!$C$2:$C$211)</x:f>
        <x:v>0.836350686662179</x:v>
      </x:c>
      <x:c r="C12" s="6" t="n">
        <x:f>AVERAGEIF(Participants!$B$2:$B$211,A12,Participants!$D$2:$D$211)</x:f>
        <x:v>0.8390106318317002</x:v>
      </x:c>
      <x:c r="D12" s="7" t="n">
        <x:f>AVERAGEIF(Participants!$B$2:$B$211,A12,Participants!$E$2:$E$211)</x:f>
        <x:v>0.004698176797367757</x:v>
      </x:c>
      <x:c r="E12" s="5" t="str">
        <x:v>TAALED</x:v>
      </x:c>
    </x:row>
    <x:row r="13">
      <x:c r="A13" s="5" t="str">
        <x:v>maas_ttr_aw</x:v>
      </x:c>
      <x:c r="B13" s="6" t="n">
        <x:f>AVERAGEIF(Participants!$B$2:$B$211,A13,Participants!$C$2:$C$211)</x:f>
        <x:v>0.060631505069734894</x:v>
      </x:c>
      <x:c r="C13" s="6" t="n">
        <x:f>AVERAGEIF(Participants!$B$2:$B$211,A13,Participants!$D$2:$D$211)</x:f>
        <x:v>0.059571438567174596</x:v>
      </x:c>
      <x:c r="D13" s="7" t="n">
        <x:f>AVERAGEIF(Participants!$B$2:$B$211,A13,Participants!$E$2:$E$211)</x:f>
        <x:v>0.02270933414698114</x:v>
      </x:c>
      <x:c r="E13" s="5" t="str">
        <x:v>TAALED</x:v>
      </x:c>
    </x:row>
    <x:row r="14">
      <x:c r="A14" s="5" t="str">
        <x:v>mattr50_aw</x:v>
      </x:c>
      <x:c r="B14" s="6" t="n">
        <x:f>AVERAGEIF(Participants!$B$2:$B$211,A14,Participants!$C$2:$C$211)</x:f>
        <x:v>0.6939294404351244</x:v>
      </x:c>
      <x:c r="C14" s="6" t="n">
        <x:f>AVERAGEIF(Participants!$B$2:$B$211,A14,Participants!$D$2:$D$211)</x:f>
        <x:v>0.697733035732567</x:v>
      </x:c>
      <x:c r="D14" s="7" t="n">
        <x:f>AVERAGEIF(Participants!$B$2:$B$211,A14,Participants!$E$2:$E$211)</x:f>
        <x:v>0.0110665541014625</x:v>
      </x:c>
      <x:c r="E14" s="5" t="str">
        <x:v>TAALED</x:v>
      </x:c>
    </x:row>
    <x:row r="15">
      <x:c r="A15" s="5" t="str">
        <x:v>msttr50_aw</x:v>
      </x:c>
      <x:c r="B15" s="6" t="n">
        <x:f>AVERAGEIF(Participants!$B$2:$B$211,A15,Participants!$C$2:$C$211)</x:f>
        <x:v>0.692719498001998</x:v>
      </x:c>
      <x:c r="C15" s="6" t="n">
        <x:f>AVERAGEIF(Participants!$B$2:$B$211,A15,Participants!$D$2:$D$211)</x:f>
        <x:v>0.6967234162544804</x:v>
      </x:c>
      <x:c r="D15" s="7" t="n">
        <x:f>AVERAGEIF(Participants!$B$2:$B$211,A15,Participants!$E$2:$E$211)</x:f>
        <x:v>0.02273249432352359</x:v>
      </x:c>
      <x:c r="E15" s="5" t="str">
        <x:v>TAALED</x:v>
      </x:c>
    </x:row>
    <x:row r="16">
      <x:c r="A16" s="5" t="str">
        <x:v>hdd42_aw</x:v>
      </x:c>
      <x:c r="B16" s="6" t="n">
        <x:f>AVERAGEIF(Participants!$B$2:$B$211,A16,Participants!$C$2:$C$211)</x:f>
        <x:v>0.7731030744652243</x:v>
      </x:c>
      <x:c r="C16" s="6" t="n">
        <x:f>AVERAGEIF(Participants!$B$2:$B$211,A16,Participants!$D$2:$D$211)</x:f>
        <x:v>0.7770764789826671</x:v>
      </x:c>
      <x:c r="D16" s="7" t="n">
        <x:f>AVERAGEIF(Participants!$B$2:$B$211,A16,Participants!$E$2:$E$211)</x:f>
        <x:v>0.0076648055942156335</x:v>
      </x:c>
      <x:c r="E16" s="5" t="str">
        <x:v>TAALED</x:v>
      </x:c>
    </x:row>
    <x:row r="17">
      <x:c r="A17" s="5" t="str">
        <x:v>mtld_original_aw</x:v>
      </x:c>
      <x:c r="B17" s="6" t="n">
        <x:f>AVERAGEIF(Participants!$B$2:$B$211,A17,Participants!$C$2:$C$211)</x:f>
        <x:v>41.015186051403944</x:v>
      </x:c>
      <x:c r="C17" s="6" t="n">
        <x:f>AVERAGEIF(Participants!$B$2:$B$211,A17,Participants!$D$2:$D$211)</x:f>
        <x:v>42.01994304179174</x:v>
      </x:c>
      <x:c r="D17" s="7" t="n">
        <x:f>AVERAGEIF(Participants!$B$2:$B$211,A17,Participants!$E$2:$E$211)</x:f>
        <x:v>0.05546361565040834</x:v>
      </x:c>
      <x:c r="E17" s="5" t="str">
        <x:v>TAALED</x:v>
      </x:c>
    </x:row>
    <x:row r="18">
      <x:c r="A18" s="5" t="str">
        <x:v>mtld_mean_factor_length_aw</x:v>
      </x:c>
      <x:c r="B18" s="6" t="n">
        <x:f>AVERAGEIF(Participants!$B$2:$B$211,A18,Participants!$C$2:$C$211)</x:f>
        <x:v>40.863854236268665</x:v>
      </x:c>
      <x:c r="C18" s="6" t="n">
        <x:f>AVERAGEIF(Participants!$B$2:$B$211,A18,Participants!$D$2:$D$211)</x:f>
        <x:v>41.999095611859886</x:v>
      </x:c>
      <x:c r="D18" s="7" t="n">
        <x:f>AVERAGEIF(Participants!$B$2:$B$211,A18,Participants!$E$2:$E$211)</x:f>
        <x:v>0.05982314179707373</x:v>
      </x:c>
      <x:c r="E18" s="5" t="str">
        <x:v>TAALED</x:v>
      </x:c>
    </x:row>
    <x:row r="19">
      <x:c r="A19" s="5" t="str">
        <x:v>total_utterances</x:v>
      </x:c>
      <x:c r="B19" s="6" t="n">
        <x:f>AVERAGEIF(Participants!$B$2:$B$211,A19,Participants!$C$2:$C$211)</x:f>
        <x:v>64.21666666666667</x:v>
      </x:c>
      <x:c r="C19" s="6" t="n">
        <x:f>AVERAGEIF(Participants!$B$2:$B$211,A19,Participants!$D$2:$D$211)</x:f>
        <x:v>59.95833333333333</x:v>
      </x:c>
      <x:c r="D19" s="7" t="n">
        <x:f>AVERAGEIF(Participants!$B$2:$B$211,A19,Participants!$E$2:$E$211)</x:f>
        <x:v>0.11748216687907294</x:v>
      </x:c>
      <x:c r="E19" s="5" t="str">
        <x:v>CLAN</x:v>
      </x:c>
    </x:row>
    <x:row r="20">
      <x:c r="A20" s="5" t="str">
        <x:v>total_words</x:v>
      </x:c>
      <x:c r="B20" s="6" t="n">
        <x:f>AVERAGEIF(Participants!$B$2:$B$211,A20,Participants!$C$2:$C$211)</x:f>
        <x:v>628.675</x:v>
      </x:c>
      <x:c r="C20" s="6" t="n">
        <x:f>AVERAGEIF(Participants!$B$2:$B$211,A20,Participants!$D$2:$D$211)</x:f>
        <x:v>625.1416666666667</x:v>
      </x:c>
      <x:c r="D20" s="7" t="n">
        <x:f>AVERAGEIF(Participants!$B$2:$B$211,A20,Participants!$E$2:$E$211)</x:f>
        <x:v>0.03566135262804585</x:v>
      </x:c>
      <x:c r="E20" s="5" t="str">
        <x:v>CLAN</x:v>
      </x:c>
    </x:row>
    <x:row r="21">
      <x:c r="A21" s="5" t="str">
        <x:v>mlu_words</x:v>
      </x:c>
      <x:c r="B21" s="6" t="n">
        <x:f>AVERAGEIF(Participants!$B$2:$B$211,A21,Participants!$C$2:$C$211)</x:f>
        <x:v>9.650450879385838</x:v>
      </x:c>
      <x:c r="C21" s="6" t="n">
        <x:f>AVERAGEIF(Participants!$B$2:$B$211,A21,Participants!$D$2:$D$211)</x:f>
        <x:v>10.337299999999999</x:v>
      </x:c>
      <x:c r="D21" s="7" t="n">
        <x:f>AVERAGEIF(Participants!$B$2:$B$211,A21,Participants!$E$2:$E$211)</x:f>
        <x:v>0.09262472608215283</x:v>
      </x:c>
      <x:c r="E21" s="5" t="str">
        <x:v>CLAN</x:v>
      </x:c>
    </x:row>
    <x:row r="22">
      <x:c r="A22" s="5" t="str">
        <x:v>mlu_words_sd</x:v>
      </x:c>
      <x:c r="B22" s="6" t="n">
        <x:f>AVERAGEIF(Participants!$B$2:$B$211,A22,Participants!$C$2:$C$211)</x:f>
        <x:v>7.679346327971643</x:v>
      </x:c>
      <x:c r="C22" s="6" t="n">
        <x:f>AVERAGEIF(Participants!$B$2:$B$211,A22,Participants!$D$2:$D$211)</x:f>
        <x:v>7.056608333333334</x:v>
      </x:c>
      <x:c r="D22" s="7" t="n">
        <x:f>AVERAGEIF(Participants!$B$2:$B$211,A22,Participants!$E$2:$E$211)</x:f>
        <x:v>0.19693867954199074</x:v>
      </x:c>
      <x:c r="E22" s="5" t="str">
        <x:v>CLAN</x:v>
      </x:c>
    </x:row>
    <x:row r="23">
      <x:c r="A23" s="5"/>
      <x:c r="B23" s="5"/>
      <x:c r="C23" s="5"/>
      <x:c r="D23" s="5"/>
      <x:c r="E23" s="5"/>
    </x:row>
    <x:row r="24" ht="54" customHeight="1">
      <x:c r="A24" s="5" t="str">
        <x:v>Comparison</x:v>
      </x:c>
      <x:c r="B24" s="5" t="str">
        <x:v>Custom pipeline on uncorrected ASR transcripts versus TAALED/CLAN on human-corrected transcripts.</x:v>
      </x:c>
      <x:c r="C24" s="5"/>
      <x:c r="D24" s="5"/>
      <x:c r="E24" s="5"/>
    </x:row>
    <x:row r="25" ht="54" customHeight="1">
      <x:c r="A25" s="5" t="str">
        <x:v>Recording APE</x:v>
      </x:c>
      <x:c r="B25" s="5" t="str">
        <x:v>abs(custom_uncorrected - corrected_reference) / abs(corrected_reference)</x:v>
      </x:c>
      <x:c r="C25" s="5"/>
      <x:c r="D25" s="5"/>
      <x:c r="E25" s="5"/>
    </x:row>
    <x:row r="26" ht="54" customHeight="1">
      <x:c r="A26" s="5" t="str">
        <x:v>Participant MAPE</x:v>
      </x:c>
      <x:c r="B26" s="5" t="str">
        <x:v>Mean recording APE within that participant.</x:v>
      </x:c>
      <x:c r="C26" s="5"/>
      <x:c r="D26" s="5"/>
      <x:c r="E26" s="5"/>
    </x:row>
    <x:row r="27" ht="54" customHeight="1">
      <x:c r="A27" s="5" t="str">
        <x:v>Overall MAPE</x:v>
      </x:c>
      <x:c r="B27" s="5" t="str">
        <x:v>Mean of the 10 participant MAPEs, giving every participant equal weight.</x:v>
      </x:c>
      <x:c r="C27" s="5"/>
      <x:c r="D27" s="5"/>
      <x:c r="E27" s="5"/>
    </x:row>
    <x:row r="28" ht="54" customHeight="1">
      <x:c r="A28" s="5" t="str">
        <x:v>Interpretation</x:v>
      </x:c>
      <x:c r="B28" s="5" t="str">
        <x:v>MAPE includes differences caused by transcript correction and software; it is not a pure software-error estimate.</x:v>
      </x:c>
      <x:c r="C28" s="5"/>
      <x:c r="D28" s="5"/>
      <x:c r="E2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1.110000610351562" hidden="0" customWidth="1"/>
    <x:col min="3" max="3" width="16.670000076293945" hidden="0" customWidth="1"/>
    <x:col min="4" max="4" width="16.670000076293945" hidden="0" customWidth="1"/>
    <x:col min="5" max="5" width="14.4399995803833" hidden="0" customWidth="1"/>
    <x:col min="6" max="6" width="8.890000343322754" hidden="0" customWidth="1"/>
    <x:col min="7" max="7" width="8.890000343322754" hidden="0" customWidth="1"/>
  </x:cols>
  <x:sheetData>
    <x:row r="1">
      <x:c r="A1" s="4" t="str">
        <x:v>Participant</x:v>
      </x:c>
      <x:c r="B1" s="4" t="str">
        <x:v>Metric</x:v>
      </x:c>
      <x:c r="C1" s="4" t="str">
        <x:v>Custom uncorrected mean</x:v>
      </x:c>
      <x:c r="D1" s="4" t="str">
        <x:v>Corrected reference mean</x:v>
      </x:c>
      <x:c r="E1" s="4" t="str">
        <x:v>Mean recording APE</x:v>
      </x:c>
      <x:c r="F1" s="4" t="str">
        <x:v>Reference</x:v>
      </x:c>
      <x:c r="G1" s="4" t="str">
        <x:v>Recordings</x:v>
      </x:c>
    </x:row>
    <x:row r="2">
      <x:c r="A2" s="5" t="str">
        <x:v>P1</x:v>
      </x:c>
      <x:c r="B2" s="5" t="str">
        <x:v>basic_ntokens</x:v>
      </x:c>
      <x:c r="C2" s="6" t="n">
        <x:f>AVERAGEIFS(Recordings!$E$2:$E$778,Recordings!$A$2:$A$778,A2,Recordings!$D$2:$D$778,B2)</x:f>
        <x:v>662.5</x:v>
      </x:c>
      <x:c r="D2" s="6" t="n">
        <x:f>AVERAGEIFS(Recordings!$F$2:$F$778,Recordings!$A$2:$A$778,A2,Recordings!$D$2:$D$778,B2)</x:f>
        <x:v>634.5</x:v>
      </x:c>
      <x:c r="E2" s="7" t="n">
        <x:f>AVERAGEIFS(Recordings!$G$2:$G$778,Recordings!$A$2:$A$778,A2,Recordings!$D$2:$D$778,B2)</x:f>
        <x:v>0.04395403635929787</x:v>
      </x:c>
      <x:c r="F2" s="5" t="str">
        <x:v>TAALED</x:v>
      </x:c>
      <x:c r="G2" s="5" t="n">
        <x:v>2</x:v>
      </x:c>
    </x:row>
    <x:row r="3">
      <x:c r="A3" s="5" t="str">
        <x:v>P1</x:v>
      </x:c>
      <x:c r="B3" s="5" t="str">
        <x:v>basic_ntypes</x:v>
      </x:c>
      <x:c r="C3" s="6" t="n">
        <x:f>AVERAGEIFS(Recordings!$E$2:$E$778,Recordings!$A$2:$A$778,A3,Recordings!$D$2:$D$778,B3)</x:f>
        <x:v>202</x:v>
      </x:c>
      <x:c r="D3" s="6" t="n">
        <x:f>AVERAGEIFS(Recordings!$F$2:$F$778,Recordings!$A$2:$A$778,A3,Recordings!$D$2:$D$778,B3)</x:f>
        <x:v>199.5</x:v>
      </x:c>
      <x:c r="E3" s="7" t="n">
        <x:f>AVERAGEIFS(Recordings!$G$2:$G$778,Recordings!$A$2:$A$778,A3,Recordings!$D$2:$D$778,B3)</x:f>
        <x:v>0.01251319161766923</x:v>
      </x:c>
      <x:c r="F3" s="5" t="str">
        <x:v>TAALED</x:v>
      </x:c>
      <x:c r="G3" s="5" t="n">
        <x:v>2</x:v>
      </x:c>
    </x:row>
    <x:row r="4">
      <x:c r="A4" s="5" t="str">
        <x:v>P1</x:v>
      </x:c>
      <x:c r="B4" s="5" t="str">
        <x:v>basic_ncontent_tokens</x:v>
      </x:c>
      <x:c r="C4" s="6" t="n">
        <x:f>AVERAGEIFS(Recordings!$E$2:$E$778,Recordings!$A$2:$A$778,A4,Recordings!$D$2:$D$778,B4)</x:f>
        <x:v>236.5</x:v>
      </x:c>
      <x:c r="D4" s="6" t="n">
        <x:f>AVERAGEIFS(Recordings!$F$2:$F$778,Recordings!$A$2:$A$778,A4,Recordings!$D$2:$D$778,B4)</x:f>
        <x:v>233.5</x:v>
      </x:c>
      <x:c r="E4" s="7" t="n">
        <x:f>AVERAGEIFS(Recordings!$G$2:$G$778,Recordings!$A$2:$A$778,A4,Recordings!$D$2:$D$778,B4)</x:f>
        <x:v>0.012396694214876033</x:v>
      </x:c>
      <x:c r="F4" s="5" t="str">
        <x:v>TAALED</x:v>
      </x:c>
      <x:c r="G4" s="5" t="n">
        <x:v>2</x:v>
      </x:c>
    </x:row>
    <x:row r="5">
      <x:c r="A5" s="5" t="str">
        <x:v>P1</x:v>
      </x:c>
      <x:c r="B5" s="5" t="str">
        <x:v>basic_ncontent_types</x:v>
      </x:c>
      <x:c r="C5" s="6" t="n">
        <x:f>AVERAGEIFS(Recordings!$E$2:$E$778,Recordings!$A$2:$A$778,A5,Recordings!$D$2:$D$778,B5)</x:f>
        <x:v>118.5</x:v>
      </x:c>
      <x:c r="D5" s="6" t="n">
        <x:f>AVERAGEIFS(Recordings!$F$2:$F$778,Recordings!$A$2:$A$778,A5,Recordings!$D$2:$D$778,B5)</x:f>
        <x:v>117.5</x:v>
      </x:c>
      <x:c r="E5" s="7" t="n">
        <x:f>AVERAGEIFS(Recordings!$G$2:$G$778,Recordings!$A$2:$A$778,A5,Recordings!$D$2:$D$778,B5)</x:f>
        <x:v>0.008695652173913044</x:v>
      </x:c>
      <x:c r="F5" s="5" t="str">
        <x:v>TAALED</x:v>
      </x:c>
      <x:c r="G5" s="5" t="n">
        <x:v>2</x:v>
      </x:c>
    </x:row>
    <x:row r="6">
      <x:c r="A6" s="5" t="str">
        <x:v>P1</x:v>
      </x:c>
      <x:c r="B6" s="5" t="str">
        <x:v>basic_nfunction_tokens</x:v>
      </x:c>
      <x:c r="C6" s="6" t="n">
        <x:f>AVERAGEIFS(Recordings!$E$2:$E$778,Recordings!$A$2:$A$778,A6,Recordings!$D$2:$D$778,B6)</x:f>
        <x:v>426</x:v>
      </x:c>
      <x:c r="D6" s="6" t="n">
        <x:f>AVERAGEIFS(Recordings!$F$2:$F$778,Recordings!$A$2:$A$778,A6,Recordings!$D$2:$D$778,B6)</x:f>
        <x:v>401</x:v>
      </x:c>
      <x:c r="E6" s="7" t="n">
        <x:f>AVERAGEIFS(Recordings!$G$2:$G$778,Recordings!$A$2:$A$778,A6,Recordings!$D$2:$D$778,B6)</x:f>
        <x:v>0.06226942147732009</x:v>
      </x:c>
      <x:c r="F6" s="5" t="str">
        <x:v>TAALED</x:v>
      </x:c>
      <x:c r="G6" s="5" t="n">
        <x:v>2</x:v>
      </x:c>
    </x:row>
    <x:row r="7">
      <x:c r="A7" s="5" t="str">
        <x:v>P1</x:v>
      </x:c>
      <x:c r="B7" s="5" t="str">
        <x:v>basic_nfunction_types</x:v>
      </x:c>
      <x:c r="C7" s="6" t="n">
        <x:f>AVERAGEIFS(Recordings!$E$2:$E$778,Recordings!$A$2:$A$778,A7,Recordings!$D$2:$D$778,B7)</x:f>
        <x:v>83.5</x:v>
      </x:c>
      <x:c r="D7" s="6" t="n">
        <x:f>AVERAGEIFS(Recordings!$F$2:$F$778,Recordings!$A$2:$A$778,A7,Recordings!$D$2:$D$778,B7)</x:f>
        <x:v>82</x:v>
      </x:c>
      <x:c r="E7" s="7" t="n">
        <x:f>AVERAGEIFS(Recordings!$G$2:$G$778,Recordings!$A$2:$A$778,A7,Recordings!$D$2:$D$778,B7)</x:f>
        <x:v>0.018518518518518517</x:v>
      </x:c>
      <x:c r="F7" s="5" t="str">
        <x:v>TAALED</x:v>
      </x:c>
      <x:c r="G7" s="5" t="n">
        <x:v>2</x:v>
      </x:c>
    </x:row>
    <x:row r="8">
      <x:c r="A8" s="5" t="str">
        <x:v>P1</x:v>
      </x:c>
      <x:c r="B8" s="5" t="str">
        <x:v>lexical_density_tokens</x:v>
      </x:c>
      <x:c r="C8" s="6" t="n">
        <x:f>AVERAGEIFS(Recordings!$E$2:$E$778,Recordings!$A$2:$A$778,A8,Recordings!$D$2:$D$778,B8)</x:f>
        <x:v>0.35679356998841355</x:v>
      </x:c>
      <x:c r="D8" s="6" t="n">
        <x:f>AVERAGEIFS(Recordings!$F$2:$F$778,Recordings!$A$2:$A$778,A8,Recordings!$D$2:$D$778,B8)</x:f>
        <x:v>0.36790673049677125</x:v>
      </x:c>
      <x:c r="E8" s="7" t="n">
        <x:f>AVERAGEIFS(Recordings!$G$2:$G$778,Recordings!$A$2:$A$778,A8,Recordings!$D$2:$D$778,B8)</x:f>
        <x:v>0.030264916555774977</x:v>
      </x:c>
      <x:c r="F8" s="5" t="str">
        <x:v>TAALED</x:v>
      </x:c>
      <x:c r="G8" s="5" t="n">
        <x:v>2</x:v>
      </x:c>
    </x:row>
    <x:row r="9">
      <x:c r="A9" s="5" t="str">
        <x:v>P1</x:v>
      </x:c>
      <x:c r="B9" s="5" t="str">
        <x:v>lexical_density_types</x:v>
      </x:c>
      <x:c r="C9" s="6" t="n">
        <x:f>AVERAGEIFS(Recordings!$E$2:$E$778,Recordings!$A$2:$A$778,A9,Recordings!$D$2:$D$778,B9)</x:f>
        <x:v>0.5866176470588236</x:v>
      </x:c>
      <x:c r="D9" s="6" t="n">
        <x:f>AVERAGEIFS(Recordings!$F$2:$F$778,Recordings!$A$2:$A$778,A9,Recordings!$D$2:$D$778,B9)</x:f>
        <x:v>0.5889115030906076</x:v>
      </x:c>
      <x:c r="E9" s="7" t="n">
        <x:f>AVERAGEIFS(Recordings!$G$2:$G$778,Recordings!$A$2:$A$778,A9,Recordings!$D$2:$D$778,B9)</x:f>
        <x:v>0.010961636828644442</x:v>
      </x:c>
      <x:c r="F9" s="5" t="str">
        <x:v>TAALED</x:v>
      </x:c>
      <x:c r="G9" s="5" t="n">
        <x:v>2</x:v>
      </x:c>
    </x:row>
    <x:row r="10">
      <x:c r="A10" s="5" t="str">
        <x:v>P1</x:v>
      </x:c>
      <x:c r="B10" s="5" t="str">
        <x:v>simple_ttr_aw</x:v>
      </x:c>
      <x:c r="C10" s="6" t="n">
        <x:f>AVERAGEIFS(Recordings!$E$2:$E$778,Recordings!$A$2:$A$778,A10,Recordings!$D$2:$D$778,B10)</x:f>
        <x:v>0.30512904726715384</x:v>
      </x:c>
      <x:c r="D10" s="6" t="n">
        <x:f>AVERAGEIFS(Recordings!$F$2:$F$778,Recordings!$A$2:$A$778,A10,Recordings!$D$2:$D$778,B10)</x:f>
        <x:v>0.31457205494161333</x:v>
      </x:c>
      <x:c r="E10" s="7" t="n">
        <x:f>AVERAGEIFS(Recordings!$G$2:$G$778,Recordings!$A$2:$A$778,A10,Recordings!$D$2:$D$778,B10)</x:f>
        <x:v>0.030091594294350973</x:v>
      </x:c>
      <x:c r="F10" s="5" t="str">
        <x:v>TAALED</x:v>
      </x:c>
      <x:c r="G10" s="5" t="n">
        <x:v>2</x:v>
      </x:c>
    </x:row>
    <x:row r="11">
      <x:c r="A11" s="5" t="str">
        <x:v>P1</x:v>
      </x:c>
      <x:c r="B11" s="5" t="str">
        <x:v>root_ttr_aw</x:v>
      </x:c>
      <x:c r="C11" s="6" t="n">
        <x:f>AVERAGEIFS(Recordings!$E$2:$E$778,Recordings!$A$2:$A$778,A11,Recordings!$D$2:$D$778,B11)</x:f>
        <x:v>7.849830003466371</x:v>
      </x:c>
      <x:c r="D11" s="6" t="n">
        <x:f>AVERAGEIFS(Recordings!$F$2:$F$778,Recordings!$A$2:$A$778,A11,Recordings!$D$2:$D$778,B11)</x:f>
        <x:v>7.921269587600035</x:v>
      </x:c>
      <x:c r="E11" s="7" t="n">
        <x:f>AVERAGEIFS(Recordings!$G$2:$G$778,Recordings!$A$2:$A$778,A11,Recordings!$D$2:$D$778,B11)</x:f>
        <x:v>0.009023294870820838</x:v>
      </x:c>
      <x:c r="F11" s="5" t="str">
        <x:v>TAALED</x:v>
      </x:c>
      <x:c r="G11" s="5" t="n">
        <x:v>2</x:v>
      </x:c>
    </x:row>
    <x:row r="12">
      <x:c r="A12" s="5" t="str">
        <x:v>P1</x:v>
      </x:c>
      <x:c r="B12" s="5" t="str">
        <x:v>log_ttr_aw</x:v>
      </x:c>
      <x:c r="C12" s="6" t="n">
        <x:f>AVERAGEIFS(Recordings!$E$2:$E$778,Recordings!$A$2:$A$778,A12,Recordings!$D$2:$D$778,B12)</x:f>
        <x:v>0.8172283815148127</x:v>
      </x:c>
      <x:c r="D12" s="6" t="n">
        <x:f>AVERAGEIFS(Recordings!$F$2:$F$778,Recordings!$A$2:$A$778,A12,Recordings!$D$2:$D$778,B12)</x:f>
        <x:v>0.820742734661511</x:v>
      </x:c>
      <x:c r="E12" s="7" t="n">
        <x:f>AVERAGEIFS(Recordings!$G$2:$G$778,Recordings!$A$2:$A$778,A12,Recordings!$D$2:$D$778,B12)</x:f>
        <x:v>0.004283273797185427</x:v>
      </x:c>
      <x:c r="F12" s="5" t="str">
        <x:v>TAALED</x:v>
      </x:c>
      <x:c r="G12" s="5" t="n">
        <x:v>2</x:v>
      </x:c>
    </x:row>
    <x:row r="13">
      <x:c r="A13" s="5" t="str">
        <x:v>P1</x:v>
      </x:c>
      <x:c r="B13" s="5" t="str">
        <x:v>maas_ttr_aw</x:v>
      </x:c>
      <x:c r="C13" s="6" t="n">
        <x:f>AVERAGEIFS(Recordings!$E$2:$E$778,Recordings!$A$2:$A$778,A13,Recordings!$D$2:$D$778,B13)</x:f>
        <x:v>0.06478772420474692</x:v>
      </x:c>
      <x:c r="D13" s="6" t="n">
        <x:f>AVERAGEIFS(Recordings!$F$2:$F$778,Recordings!$A$2:$A$778,A13,Recordings!$D$2:$D$778,B13)</x:f>
        <x:v>0.06396621178758193</x:v>
      </x:c>
      <x:c r="E13" s="7" t="n">
        <x:f>AVERAGEIFS(Recordings!$G$2:$G$778,Recordings!$A$2:$A$778,A13,Recordings!$D$2:$D$778,B13)</x:f>
        <x:v>0.012834204762671938</x:v>
      </x:c>
      <x:c r="F13" s="5" t="str">
        <x:v>TAALED</x:v>
      </x:c>
      <x:c r="G13" s="5" t="n">
        <x:v>2</x:v>
      </x:c>
    </x:row>
    <x:row r="14">
      <x:c r="A14" s="5" t="str">
        <x:v>P1</x:v>
      </x:c>
      <x:c r="B14" s="5" t="str">
        <x:v>mattr50_aw</x:v>
      </x:c>
      <x:c r="C14" s="6" t="n">
        <x:f>AVERAGEIFS(Recordings!$E$2:$E$778,Recordings!$A$2:$A$778,A14,Recordings!$D$2:$D$778,B14)</x:f>
        <x:v>0.6911831506703554</x:v>
      </x:c>
      <x:c r="D14" s="6" t="n">
        <x:f>AVERAGEIFS(Recordings!$F$2:$F$778,Recordings!$A$2:$A$778,A14,Recordings!$D$2:$D$778,B14)</x:f>
        <x:v>0.689882348819693</x:v>
      </x:c>
      <x:c r="E14" s="7" t="n">
        <x:f>AVERAGEIFS(Recordings!$G$2:$G$778,Recordings!$A$2:$A$778,A14,Recordings!$D$2:$D$778,B14)</x:f>
        <x:v>0.002465340231765452</x:v>
      </x:c>
      <x:c r="F14" s="5" t="str">
        <x:v>TAALED</x:v>
      </x:c>
      <x:c r="G14" s="5" t="n">
        <x:v>2</x:v>
      </x:c>
    </x:row>
    <x:row r="15">
      <x:c r="A15" s="5" t="str">
        <x:v>P1</x:v>
      </x:c>
      <x:c r="B15" s="5" t="str">
        <x:v>msttr50_aw</x:v>
      </x:c>
      <x:c r="C15" s="6" t="n">
        <x:f>AVERAGEIFS(Recordings!$E$2:$E$778,Recordings!$A$2:$A$778,A15,Recordings!$D$2:$D$778,B15)</x:f>
        <x:v>0.6877564102564102</x:v>
      </x:c>
      <x:c r="D15" s="6" t="n">
        <x:f>AVERAGEIFS(Recordings!$F$2:$F$778,Recordings!$A$2:$A$778,A15,Recordings!$D$2:$D$778,B15)</x:f>
        <x:v>0.6838461538461539</x:v>
      </x:c>
      <x:c r="E15" s="7" t="n">
        <x:f>AVERAGEIFS(Recordings!$G$2:$G$778,Recordings!$A$2:$A$778,A15,Recordings!$D$2:$D$778,B15)</x:f>
        <x:v>0.005798771121351731</x:v>
      </x:c>
      <x:c r="F15" s="5" t="str">
        <x:v>TAALED</x:v>
      </x:c>
      <x:c r="G15" s="5" t="n">
        <x:v>2</x:v>
      </x:c>
    </x:row>
    <x:row r="16">
      <x:c r="A16" s="5" t="str">
        <x:v>P1</x:v>
      </x:c>
      <x:c r="B16" s="5" t="str">
        <x:v>hdd42_aw</x:v>
      </x:c>
      <x:c r="C16" s="6" t="n">
        <x:f>AVERAGEIFS(Recordings!$E$2:$E$778,Recordings!$A$2:$A$778,A16,Recordings!$D$2:$D$778,B16)</x:f>
        <x:v>0.7587637438939532</x:v>
      </x:c>
      <x:c r="D16" s="6" t="n">
        <x:f>AVERAGEIFS(Recordings!$F$2:$F$778,Recordings!$A$2:$A$778,A16,Recordings!$D$2:$D$778,B16)</x:f>
        <x:v>0.7575315023232408</x:v>
      </x:c>
      <x:c r="E16" s="7" t="n">
        <x:f>AVERAGEIFS(Recordings!$G$2:$G$778,Recordings!$A$2:$A$778,A16,Recordings!$D$2:$D$778,B16)</x:f>
        <x:v>0.00673691493022823</x:v>
      </x:c>
      <x:c r="F16" s="5" t="str">
        <x:v>TAALED</x:v>
      </x:c>
      <x:c r="G16" s="5" t="n">
        <x:v>2</x:v>
      </x:c>
    </x:row>
    <x:row r="17">
      <x:c r="A17" s="5" t="str">
        <x:v>P1</x:v>
      </x:c>
      <x:c r="B17" s="5" t="str">
        <x:v>mtld_original_aw</x:v>
      </x:c>
      <x:c r="C17" s="6" t="n">
        <x:f>AVERAGEIFS(Recordings!$E$2:$E$778,Recordings!$A$2:$A$778,A17,Recordings!$D$2:$D$778,B17)</x:f>
        <x:v>36.871014335563466</x:v>
      </x:c>
      <x:c r="D17" s="6" t="n">
        <x:f>AVERAGEIFS(Recordings!$F$2:$F$778,Recordings!$A$2:$A$778,A17,Recordings!$D$2:$D$778,B17)</x:f>
        <x:v>35.825090027276346</x:v>
      </x:c>
      <x:c r="E17" s="7" t="n">
        <x:f>AVERAGEIFS(Recordings!$G$2:$G$778,Recordings!$A$2:$A$778,A17,Recordings!$D$2:$D$778,B17)</x:f>
        <x:v>0.027998973331226903</x:v>
      </x:c>
      <x:c r="F17" s="5" t="str">
        <x:v>TAALED</x:v>
      </x:c>
      <x:c r="G17" s="5" t="n">
        <x:v>2</x:v>
      </x:c>
    </x:row>
    <x:row r="18">
      <x:c r="A18" s="5" t="str">
        <x:v>P1</x:v>
      </x:c>
      <x:c r="B18" s="5" t="str">
        <x:v>mtld_mean_factor_length_aw</x:v>
      </x:c>
      <x:c r="C18" s="6" t="n">
        <x:f>AVERAGEIFS(Recordings!$E$2:$E$778,Recordings!$A$2:$A$778,A18,Recordings!$D$2:$D$778,B18)</x:f>
        <x:v>36.6419647696477</x:v>
      </x:c>
      <x:c r="D18" s="6" t="n">
        <x:f>AVERAGEIFS(Recordings!$F$2:$F$778,Recordings!$A$2:$A$778,A18,Recordings!$D$2:$D$778,B18)</x:f>
        <x:v>35.52258333333333</x:v>
      </x:c>
      <x:c r="E18" s="7" t="n">
        <x:f>AVERAGEIFS(Recordings!$G$2:$G$778,Recordings!$A$2:$A$778,A18,Recordings!$D$2:$D$778,B18)</x:f>
        <x:v>0.03044599418782029</x:v>
      </x:c>
      <x:c r="F18" s="5" t="str">
        <x:v>TAALED</x:v>
      </x:c>
      <x:c r="G18" s="5" t="n">
        <x:v>2</x:v>
      </x:c>
    </x:row>
    <x:row r="19">
      <x:c r="A19" s="5" t="str">
        <x:v>P1</x:v>
      </x:c>
      <x:c r="B19" s="5" t="str">
        <x:v>total_utterances</x:v>
      </x:c>
      <x:c r="C19" s="6" t="n">
        <x:f>AVERAGEIFS(Recordings!$E$2:$E$778,Recordings!$A$2:$A$778,A19,Recordings!$D$2:$D$778,B19)</x:f>
        <x:v>40.5</x:v>
      </x:c>
      <x:c r="D19" s="6" t="n">
        <x:f>AVERAGEIFS(Recordings!$F$2:$F$778,Recordings!$A$2:$A$778,A19,Recordings!$D$2:$D$778,B19)</x:f>
        <x:v>35</x:v>
      </x:c>
      <x:c r="E19" s="7" t="n">
        <x:f>AVERAGEIFS(Recordings!$G$2:$G$778,Recordings!$A$2:$A$778,A19,Recordings!$D$2:$D$778,B19)</x:f>
        <x:v>0.21895424836601307</x:v>
      </x:c>
      <x:c r="F19" s="5" t="str">
        <x:v>CLAN</x:v>
      </x:c>
      <x:c r="G19" s="5" t="n">
        <x:v>2</x:v>
      </x:c>
    </x:row>
    <x:row r="20">
      <x:c r="A20" s="5" t="str">
        <x:v>P1</x:v>
      </x:c>
      <x:c r="B20" s="5" t="str">
        <x:v>total_words</x:v>
      </x:c>
      <x:c r="C20" s="6" t="n">
        <x:f>AVERAGEIFS(Recordings!$E$2:$E$778,Recordings!$A$2:$A$778,A20,Recordings!$D$2:$D$778,B20)</x:f>
        <x:v>625.5</x:v>
      </x:c>
      <x:c r="D20" s="6" t="n">
        <x:f>AVERAGEIFS(Recordings!$F$2:$F$778,Recordings!$A$2:$A$778,A20,Recordings!$D$2:$D$778,B20)</x:f>
        <x:v>599.5</x:v>
      </x:c>
      <x:c r="E20" s="7" t="n">
        <x:f>AVERAGEIFS(Recordings!$G$2:$G$778,Recordings!$A$2:$A$778,A20,Recordings!$D$2:$D$778,B20)</x:f>
        <x:v>0.0432894106906265</x:v>
      </x:c>
      <x:c r="F20" s="5" t="str">
        <x:v>CLAN</x:v>
      </x:c>
      <x:c r="G20" s="5" t="n">
        <x:v>2</x:v>
      </x:c>
    </x:row>
    <x:row r="21">
      <x:c r="A21" s="5" t="str">
        <x:v>P1</x:v>
      </x:c>
      <x:c r="B21" s="5" t="str">
        <x:v>mlu_words</x:v>
      </x:c>
      <x:c r="C21" s="6" t="n">
        <x:f>AVERAGEIFS(Recordings!$E$2:$E$778,Recordings!$A$2:$A$778,A21,Recordings!$D$2:$D$778,B21)</x:f>
        <x:v>15.911764705882353</x:v>
      </x:c>
      <x:c r="D21" s="6" t="n">
        <x:f>AVERAGEIFS(Recordings!$F$2:$F$778,Recordings!$A$2:$A$778,A21,Recordings!$D$2:$D$778,B21)</x:f>
        <x:v>17.133000000000003</x:v>
      </x:c>
      <x:c r="E21" s="7" t="n">
        <x:f>AVERAGEIFS(Recordings!$G$2:$G$778,Recordings!$A$2:$A$778,A21,Recordings!$D$2:$D$778,B21)</x:f>
        <x:v>0.17869369188681264</x:v>
      </x:c>
      <x:c r="F21" s="5" t="str">
        <x:v>CLAN</x:v>
      </x:c>
      <x:c r="G21" s="5" t="n">
        <x:v>2</x:v>
      </x:c>
    </x:row>
    <x:row r="22">
      <x:c r="A22" s="5" t="str">
        <x:v>P1</x:v>
      </x:c>
      <x:c r="B22" s="5" t="str">
        <x:v>mlu_words_sd</x:v>
      </x:c>
      <x:c r="C22" s="6" t="n">
        <x:f>AVERAGEIFS(Recordings!$E$2:$E$778,Recordings!$A$2:$A$778,A22,Recordings!$D$2:$D$778,B22)</x:f>
        <x:v>14.895895918992343</x:v>
      </x:c>
      <x:c r="D22" s="6" t="n">
        <x:f>AVERAGEIFS(Recordings!$F$2:$F$778,Recordings!$A$2:$A$778,A22,Recordings!$D$2:$D$778,B22)</x:f>
        <x:v>7.390499999999999</x:v>
      </x:c>
      <x:c r="E22" s="7" t="n">
        <x:f>AVERAGEIFS(Recordings!$G$2:$G$778,Recordings!$A$2:$A$778,A22,Recordings!$D$2:$D$778,B22)</x:f>
        <x:v>0.9896524056056184</x:v>
      </x:c>
      <x:c r="F22" s="5" t="str">
        <x:v>CLAN</x:v>
      </x:c>
      <x:c r="G22" s="5" t="n">
        <x:v>2</x:v>
      </x:c>
    </x:row>
    <x:row r="23">
      <x:c r="A23" s="5" t="str">
        <x:v>P2</x:v>
      </x:c>
      <x:c r="B23" s="5" t="str">
        <x:v>basic_ntokens</x:v>
      </x:c>
      <x:c r="C23" s="6" t="n">
        <x:f>AVERAGEIFS(Recordings!$E$2:$E$778,Recordings!$A$2:$A$778,A23,Recordings!$D$2:$D$778,B23)</x:f>
        <x:v>1085.5</x:v>
      </x:c>
      <x:c r="D23" s="6" t="n">
        <x:f>AVERAGEIFS(Recordings!$F$2:$F$778,Recordings!$A$2:$A$778,A23,Recordings!$D$2:$D$778,B23)</x:f>
        <x:v>1067.5</x:v>
      </x:c>
      <x:c r="E23" s="7" t="n">
        <x:f>AVERAGEIFS(Recordings!$G$2:$G$778,Recordings!$A$2:$A$778,A23,Recordings!$D$2:$D$778,B23)</x:f>
        <x:v>0.0176276752400368</x:v>
      </x:c>
      <x:c r="F23" s="5" t="str">
        <x:v>TAALED</x:v>
      </x:c>
      <x:c r="G23" s="5" t="n">
        <x:v>4</x:v>
      </x:c>
    </x:row>
    <x:row r="24">
      <x:c r="A24" s="5" t="str">
        <x:v>P2</x:v>
      </x:c>
      <x:c r="B24" s="5" t="str">
        <x:v>basic_ntypes</x:v>
      </x:c>
      <x:c r="C24" s="6" t="n">
        <x:f>AVERAGEIFS(Recordings!$E$2:$E$778,Recordings!$A$2:$A$778,A24,Recordings!$D$2:$D$778,B24)</x:f>
        <x:v>329</x:v>
      </x:c>
      <x:c r="D24" s="6" t="n">
        <x:f>AVERAGEIFS(Recordings!$F$2:$F$778,Recordings!$A$2:$A$778,A24,Recordings!$D$2:$D$778,B24)</x:f>
        <x:v>328</x:v>
      </x:c>
      <x:c r="E24" s="7" t="n">
        <x:f>AVERAGEIFS(Recordings!$G$2:$G$778,Recordings!$A$2:$A$778,A24,Recordings!$D$2:$D$778,B24)</x:f>
        <x:v>0.009237611098438517</x:v>
      </x:c>
      <x:c r="F24" s="5" t="str">
        <x:v>TAALED</x:v>
      </x:c>
      <x:c r="G24" s="5" t="n">
        <x:v>4</x:v>
      </x:c>
    </x:row>
    <x:row r="25">
      <x:c r="A25" s="5" t="str">
        <x:v>P2</x:v>
      </x:c>
      <x:c r="B25" s="5" t="str">
        <x:v>basic_ncontent_tokens</x:v>
      </x:c>
      <x:c r="C25" s="6" t="n">
        <x:f>AVERAGEIFS(Recordings!$E$2:$E$778,Recordings!$A$2:$A$778,A25,Recordings!$D$2:$D$778,B25)</x:f>
        <x:v>414.75</x:v>
      </x:c>
      <x:c r="D25" s="6" t="n">
        <x:f>AVERAGEIFS(Recordings!$F$2:$F$778,Recordings!$A$2:$A$778,A25,Recordings!$D$2:$D$778,B25)</x:f>
        <x:v>414.5</x:v>
      </x:c>
      <x:c r="E25" s="7" t="n">
        <x:f>AVERAGEIFS(Recordings!$G$2:$G$778,Recordings!$A$2:$A$778,A25,Recordings!$D$2:$D$778,B25)</x:f>
        <x:v>0.011506914527779025</x:v>
      </x:c>
      <x:c r="F25" s="5" t="str">
        <x:v>TAALED</x:v>
      </x:c>
      <x:c r="G25" s="5" t="n">
        <x:v>4</x:v>
      </x:c>
    </x:row>
    <x:row r="26">
      <x:c r="A26" s="5" t="str">
        <x:v>P2</x:v>
      </x:c>
      <x:c r="B26" s="5" t="str">
        <x:v>basic_ncontent_types</x:v>
      </x:c>
      <x:c r="C26" s="6" t="n">
        <x:f>AVERAGEIFS(Recordings!$E$2:$E$778,Recordings!$A$2:$A$778,A26,Recordings!$D$2:$D$778,B26)</x:f>
        <x:v>234.5</x:v>
      </x:c>
      <x:c r="D26" s="6" t="n">
        <x:f>AVERAGEIFS(Recordings!$F$2:$F$778,Recordings!$A$2:$A$778,A26,Recordings!$D$2:$D$778,B26)</x:f>
        <x:v>233.25</x:v>
      </x:c>
      <x:c r="E26" s="7" t="n">
        <x:f>AVERAGEIFS(Recordings!$G$2:$G$778,Recordings!$A$2:$A$778,A26,Recordings!$D$2:$D$778,B26)</x:f>
        <x:v>0.01409771071978144</x:v>
      </x:c>
      <x:c r="F26" s="5" t="str">
        <x:v>TAALED</x:v>
      </x:c>
      <x:c r="G26" s="5" t="n">
        <x:v>4</x:v>
      </x:c>
    </x:row>
    <x:row r="27">
      <x:c r="A27" s="5" t="str">
        <x:v>P2</x:v>
      </x:c>
      <x:c r="B27" s="5" t="str">
        <x:v>basic_nfunction_tokens</x:v>
      </x:c>
      <x:c r="C27" s="6" t="n">
        <x:f>AVERAGEIFS(Recordings!$E$2:$E$778,Recordings!$A$2:$A$778,A27,Recordings!$D$2:$D$778,B27)</x:f>
        <x:v>670.75</x:v>
      </x:c>
      <x:c r="D27" s="6" t="n">
        <x:f>AVERAGEIFS(Recordings!$F$2:$F$778,Recordings!$A$2:$A$778,A27,Recordings!$D$2:$D$778,B27)</x:f>
        <x:v>653</x:v>
      </x:c>
      <x:c r="E27" s="7" t="n">
        <x:f>AVERAGEIFS(Recordings!$G$2:$G$778,Recordings!$A$2:$A$778,A27,Recordings!$D$2:$D$778,B27)</x:f>
        <x:v>0.027990269103912266</x:v>
      </x:c>
      <x:c r="F27" s="5" t="str">
        <x:v>TAALED</x:v>
      </x:c>
      <x:c r="G27" s="5" t="n">
        <x:v>4</x:v>
      </x:c>
    </x:row>
    <x:row r="28">
      <x:c r="A28" s="5" t="str">
        <x:v>P2</x:v>
      </x:c>
      <x:c r="B28" s="5" t="str">
        <x:v>basic_nfunction_types</x:v>
      </x:c>
      <x:c r="C28" s="6" t="n">
        <x:f>AVERAGEIFS(Recordings!$E$2:$E$778,Recordings!$A$2:$A$778,A28,Recordings!$D$2:$D$778,B28)</x:f>
        <x:v>94.5</x:v>
      </x:c>
      <x:c r="D28" s="6" t="n">
        <x:f>AVERAGEIFS(Recordings!$F$2:$F$778,Recordings!$A$2:$A$778,A28,Recordings!$D$2:$D$778,B28)</x:f>
        <x:v>94.75</x:v>
      </x:c>
      <x:c r="E28" s="7" t="n">
        <x:f>AVERAGEIFS(Recordings!$G$2:$G$778,Recordings!$A$2:$A$778,A28,Recordings!$D$2:$D$778,B28)</x:f>
        <x:v>0.002717391304347826</x:v>
      </x:c>
      <x:c r="F28" s="5" t="str">
        <x:v>TAALED</x:v>
      </x:c>
      <x:c r="G28" s="5" t="n">
        <x:v>4</x:v>
      </x:c>
    </x:row>
    <x:row r="29">
      <x:c r="A29" s="5" t="str">
        <x:v>P2</x:v>
      </x:c>
      <x:c r="B29" s="5" t="str">
        <x:v>lexical_density_tokens</x:v>
      </x:c>
      <x:c r="C29" s="6" t="n">
        <x:f>AVERAGEIFS(Recordings!$E$2:$E$778,Recordings!$A$2:$A$778,A29,Recordings!$D$2:$D$778,B29)</x:f>
        <x:v>0.3817358156785799</x:v>
      </x:c>
      <x:c r="D29" s="6" t="n">
        <x:f>AVERAGEIFS(Recordings!$F$2:$F$778,Recordings!$A$2:$A$778,A29,Recordings!$D$2:$D$778,B29)</x:f>
        <x:v>0.38801096331837703</x:v>
      </x:c>
      <x:c r="E29" s="7" t="n">
        <x:f>AVERAGEIFS(Recordings!$G$2:$G$778,Recordings!$A$2:$A$778,A29,Recordings!$D$2:$D$778,B29)</x:f>
        <x:v>0.01642460603403269</x:v>
      </x:c>
      <x:c r="F29" s="5" t="str">
        <x:v>TAALED</x:v>
      </x:c>
      <x:c r="G29" s="5" t="n">
        <x:v>4</x:v>
      </x:c>
    </x:row>
    <x:row r="30">
      <x:c r="A30" s="5" t="str">
        <x:v>P2</x:v>
      </x:c>
      <x:c r="B30" s="5" t="str">
        <x:v>lexical_density_types</x:v>
      </x:c>
      <x:c r="C30" s="6" t="n">
        <x:f>AVERAGEIFS(Recordings!$E$2:$E$778,Recordings!$A$2:$A$778,A30,Recordings!$D$2:$D$778,B30)</x:f>
        <x:v>0.7126111641104533</x:v>
      </x:c>
      <x:c r="D30" s="6" t="n">
        <x:f>AVERAGEIFS(Recordings!$F$2:$F$778,Recordings!$A$2:$A$778,A30,Recordings!$D$2:$D$778,B30)</x:f>
        <x:v>0.7109535676958214</x:v>
      </x:c>
      <x:c r="E30" s="7" t="n">
        <x:f>AVERAGEIFS(Recordings!$G$2:$G$778,Recordings!$A$2:$A$778,A30,Recordings!$D$2:$D$778,B30)</x:f>
        <x:v>0.004823223966849024</x:v>
      </x:c>
      <x:c r="F30" s="5" t="str">
        <x:v>TAALED</x:v>
      </x:c>
      <x:c r="G30" s="5" t="n">
        <x:v>4</x:v>
      </x:c>
    </x:row>
    <x:row r="31">
      <x:c r="A31" s="5" t="str">
        <x:v>P2</x:v>
      </x:c>
      <x:c r="B31" s="5" t="str">
        <x:v>simple_ttr_aw</x:v>
      </x:c>
      <x:c r="C31" s="6" t="n">
        <x:f>AVERAGEIFS(Recordings!$E$2:$E$778,Recordings!$A$2:$A$778,A31,Recordings!$D$2:$D$778,B31)</x:f>
        <x:v>0.30327171312958573</x:v>
      </x:c>
      <x:c r="D31" s="6" t="n">
        <x:f>AVERAGEIFS(Recordings!$F$2:$F$778,Recordings!$A$2:$A$778,A31,Recordings!$D$2:$D$778,B31)</x:f>
        <x:v>0.30766239783671334</x:v>
      </x:c>
      <x:c r="E31" s="7" t="n">
        <x:f>AVERAGEIFS(Recordings!$G$2:$G$778,Recordings!$A$2:$A$778,A31,Recordings!$D$2:$D$778,B31)</x:f>
        <x:v>0.014148911430567734</x:v>
      </x:c>
      <x:c r="F31" s="5" t="str">
        <x:v>TAALED</x:v>
      </x:c>
      <x:c r="G31" s="5" t="n">
        <x:v>4</x:v>
      </x:c>
    </x:row>
    <x:row r="32">
      <x:c r="A32" s="5" t="str">
        <x:v>P2</x:v>
      </x:c>
      <x:c r="B32" s="5" t="str">
        <x:v>root_ttr_aw</x:v>
      </x:c>
      <x:c r="C32" s="6" t="n">
        <x:f>AVERAGEIFS(Recordings!$E$2:$E$778,Recordings!$A$2:$A$778,A32,Recordings!$D$2:$D$778,B32)</x:f>
        <x:v>9.980507980381738</x:v>
      </x:c>
      <x:c r="D32" s="6" t="n">
        <x:f>AVERAGEIFS(Recordings!$F$2:$F$778,Recordings!$A$2:$A$778,A32,Recordings!$D$2:$D$778,B32)</x:f>
        <x:v>10.035459956086552</x:v>
      </x:c>
      <x:c r="E32" s="7" t="n">
        <x:f>AVERAGEIFS(Recordings!$G$2:$G$778,Recordings!$A$2:$A$778,A32,Recordings!$D$2:$D$778,B32)</x:f>
        <x:v>0.007983413229699777</x:v>
      </x:c>
      <x:c r="F32" s="5" t="str">
        <x:v>TAALED</x:v>
      </x:c>
      <x:c r="G32" s="5" t="n">
        <x:v>4</x:v>
      </x:c>
    </x:row>
    <x:row r="33">
      <x:c r="A33" s="5" t="str">
        <x:v>P2</x:v>
      </x:c>
      <x:c r="B33" s="5" t="str">
        <x:v>log_ttr_aw</x:v>
      </x:c>
      <x:c r="C33" s="6" t="n">
        <x:f>AVERAGEIFS(Recordings!$E$2:$E$778,Recordings!$A$2:$A$778,A33,Recordings!$D$2:$D$778,B33)</x:f>
        <x:v>0.8291552426974524</x:v>
      </x:c>
      <x:c r="D33" s="6" t="n">
        <x:f>AVERAGEIFS(Recordings!$F$2:$F$778,Recordings!$A$2:$A$778,A33,Recordings!$D$2:$D$778,B33)</x:f>
        <x:v>0.8307886523636514</x:v>
      </x:c>
      <x:c r="E33" s="7" t="n">
        <x:f>AVERAGEIFS(Recordings!$G$2:$G$778,Recordings!$A$2:$A$778,A33,Recordings!$D$2:$D$778,B33)</x:f>
        <x:v>0.0019656636963922254</x:v>
      </x:c>
      <x:c r="F33" s="5" t="str">
        <x:v>TAALED</x:v>
      </x:c>
      <x:c r="G33" s="5" t="n">
        <x:v>4</x:v>
      </x:c>
    </x:row>
    <x:row r="34">
      <x:c r="A34" s="5" t="str">
        <x:v>P2</x:v>
      </x:c>
      <x:c r="B34" s="5" t="str">
        <x:v>maas_ttr_aw</x:v>
      </x:c>
      <x:c r="C34" s="6" t="n">
        <x:f>AVERAGEIFS(Recordings!$E$2:$E$778,Recordings!$A$2:$A$778,A34,Recordings!$D$2:$D$778,B34)</x:f>
        <x:v>0.05631824338064917</x:v>
      </x:c>
      <x:c r="D34" s="6" t="n">
        <x:f>AVERAGEIFS(Recordings!$F$2:$F$778,Recordings!$A$2:$A$778,A34,Recordings!$D$2:$D$778,B34)</x:f>
        <x:v>0.055917432997225486</x:v>
      </x:c>
      <x:c r="E34" s="7" t="n">
        <x:f>AVERAGEIFS(Recordings!$G$2:$G$778,Recordings!$A$2:$A$778,A34,Recordings!$D$2:$D$778,B34)</x:f>
        <x:v>0.008167603736936677</x:v>
      </x:c>
      <x:c r="F34" s="5" t="str">
        <x:v>TAALED</x:v>
      </x:c>
      <x:c r="G34" s="5" t="n">
        <x:v>4</x:v>
      </x:c>
    </x:row>
    <x:row r="35">
      <x:c r="A35" s="5" t="str">
        <x:v>P2</x:v>
      </x:c>
      <x:c r="B35" s="5" t="str">
        <x:v>mattr50_aw</x:v>
      </x:c>
      <x:c r="C35" s="6" t="n">
        <x:f>AVERAGEIFS(Recordings!$E$2:$E$778,Recordings!$A$2:$A$778,A35,Recordings!$D$2:$D$778,B35)</x:f>
        <x:v>0.7051509818126951</x:v>
      </x:c>
      <x:c r="D35" s="6" t="n">
        <x:f>AVERAGEIFS(Recordings!$F$2:$F$778,Recordings!$A$2:$A$778,A35,Recordings!$D$2:$D$778,B35)</x:f>
        <x:v>0.7063057019035847</x:v>
      </x:c>
      <x:c r="E35" s="7" t="n">
        <x:f>AVERAGEIFS(Recordings!$G$2:$G$778,Recordings!$A$2:$A$778,A35,Recordings!$D$2:$D$778,B35)</x:f>
        <x:v>0.0036320375048051663</x:v>
      </x:c>
      <x:c r="F35" s="5" t="str">
        <x:v>TAALED</x:v>
      </x:c>
      <x:c r="G35" s="5" t="n">
        <x:v>4</x:v>
      </x:c>
    </x:row>
    <x:row r="36">
      <x:c r="A36" s="5" t="str">
        <x:v>P2</x:v>
      </x:c>
      <x:c r="B36" s="5" t="str">
        <x:v>msttr50_aw</x:v>
      </x:c>
      <x:c r="C36" s="6" t="n">
        <x:f>AVERAGEIFS(Recordings!$E$2:$E$778,Recordings!$A$2:$A$778,A36,Recordings!$D$2:$D$778,B36)</x:f>
        <x:v>0.7089166666666666</x:v>
      </x:c>
      <x:c r="D36" s="6" t="n">
        <x:f>AVERAGEIFS(Recordings!$F$2:$F$778,Recordings!$A$2:$A$778,A36,Recordings!$D$2:$D$778,B36)</x:f>
        <x:v>0.7061140350877193</x:v>
      </x:c>
      <x:c r="E36" s="7" t="n">
        <x:f>AVERAGEIFS(Recordings!$G$2:$G$778,Recordings!$A$2:$A$778,A36,Recordings!$D$2:$D$778,B36)</x:f>
        <x:v>0.010630828907633498</x:v>
      </x:c>
      <x:c r="F36" s="5" t="str">
        <x:v>TAALED</x:v>
      </x:c>
      <x:c r="G36" s="5" t="n">
        <x:v>4</x:v>
      </x:c>
    </x:row>
    <x:row r="37">
      <x:c r="A37" s="5" t="str">
        <x:v>P2</x:v>
      </x:c>
      <x:c r="B37" s="5" t="str">
        <x:v>hdd42_aw</x:v>
      </x:c>
      <x:c r="C37" s="6" t="n">
        <x:f>AVERAGEIFS(Recordings!$E$2:$E$778,Recordings!$A$2:$A$778,A37,Recordings!$D$2:$D$778,B37)</x:f>
        <x:v>0.7793707303371862</x:v>
      </x:c>
      <x:c r="D37" s="6" t="n">
        <x:f>AVERAGEIFS(Recordings!$F$2:$F$778,Recordings!$A$2:$A$778,A37,Recordings!$D$2:$D$778,B37)</x:f>
        <x:v>0.7795059558700235</x:v>
      </x:c>
      <x:c r="E37" s="7" t="n">
        <x:f>AVERAGEIFS(Recordings!$G$2:$G$778,Recordings!$A$2:$A$778,A37,Recordings!$D$2:$D$778,B37)</x:f>
        <x:v>0.0028555896510650877</x:v>
      </x:c>
      <x:c r="F37" s="5" t="str">
        <x:v>TAALED</x:v>
      </x:c>
      <x:c r="G37" s="5" t="n">
        <x:v>4</x:v>
      </x:c>
    </x:row>
    <x:row r="38">
      <x:c r="A38" s="5" t="str">
        <x:v>P2</x:v>
      </x:c>
      <x:c r="B38" s="5" t="str">
        <x:v>mtld_original_aw</x:v>
      </x:c>
      <x:c r="C38" s="6" t="n">
        <x:f>AVERAGEIFS(Recordings!$E$2:$E$778,Recordings!$A$2:$A$778,A38,Recordings!$D$2:$D$778,B38)</x:f>
        <x:v>41.709691855405936</x:v>
      </x:c>
      <x:c r="D38" s="6" t="n">
        <x:f>AVERAGEIFS(Recordings!$F$2:$F$778,Recordings!$A$2:$A$778,A38,Recordings!$D$2:$D$778,B38)</x:f>
        <x:v>40.9434847152975</x:v>
      </x:c>
      <x:c r="E38" s="7" t="n">
        <x:f>AVERAGEIFS(Recordings!$G$2:$G$778,Recordings!$A$2:$A$778,A38,Recordings!$D$2:$D$778,B38)</x:f>
        <x:v>0.055804061639748395</x:v>
      </x:c>
      <x:c r="F38" s="5" t="str">
        <x:v>TAALED</x:v>
      </x:c>
      <x:c r="G38" s="5" t="n">
        <x:v>4</x:v>
      </x:c>
    </x:row>
    <x:row r="39">
      <x:c r="A39" s="5" t="str">
        <x:v>P2</x:v>
      </x:c>
      <x:c r="B39" s="5" t="str">
        <x:v>mtld_mean_factor_length_aw</x:v>
      </x:c>
      <x:c r="C39" s="6" t="n">
        <x:f>AVERAGEIFS(Recordings!$E$2:$E$778,Recordings!$A$2:$A$778,A39,Recordings!$D$2:$D$778,B39)</x:f>
        <x:v>41.74786189218875</x:v>
      </x:c>
      <x:c r="D39" s="6" t="n">
        <x:f>AVERAGEIFS(Recordings!$F$2:$F$778,Recordings!$A$2:$A$778,A39,Recordings!$D$2:$D$778,B39)</x:f>
        <x:v>40.875402638827445</x:v>
      </x:c>
      <x:c r="E39" s="7" t="n">
        <x:f>AVERAGEIFS(Recordings!$G$2:$G$778,Recordings!$A$2:$A$778,A39,Recordings!$D$2:$D$778,B39)</x:f>
        <x:v>0.055602060038439025</x:v>
      </x:c>
      <x:c r="F39" s="5" t="str">
        <x:v>TAALED</x:v>
      </x:c>
      <x:c r="G39" s="5" t="n">
        <x:v>4</x:v>
      </x:c>
    </x:row>
    <x:row r="40">
      <x:c r="A40" s="5" t="str">
        <x:v>P2</x:v>
      </x:c>
      <x:c r="B40" s="5" t="str">
        <x:v>total_utterances</x:v>
      </x:c>
      <x:c r="C40" s="6" t="n">
        <x:f>AVERAGEIFS(Recordings!$E$2:$E$778,Recordings!$A$2:$A$778,A40,Recordings!$D$2:$D$778,B40)</x:f>
        <x:v>90.5</x:v>
      </x:c>
      <x:c r="D40" s="6" t="n">
        <x:f>AVERAGEIFS(Recordings!$F$2:$F$778,Recordings!$A$2:$A$778,A40,Recordings!$D$2:$D$778,B40)</x:f>
        <x:v>77.5</x:v>
      </x:c>
      <x:c r="E40" s="7" t="n">
        <x:f>AVERAGEIFS(Recordings!$G$2:$G$778,Recordings!$A$2:$A$778,A40,Recordings!$D$2:$D$778,B40)</x:f>
        <x:v>0.1597727921753409</x:v>
      </x:c>
      <x:c r="F40" s="5" t="str">
        <x:v>CLAN</x:v>
      </x:c>
      <x:c r="G40" s="5" t="n">
        <x:v>4</x:v>
      </x:c>
    </x:row>
    <x:row r="41">
      <x:c r="A41" s="5" t="str">
        <x:v>P2</x:v>
      </x:c>
      <x:c r="B41" s="5" t="str">
        <x:v>total_words</x:v>
      </x:c>
      <x:c r="C41" s="6" t="n">
        <x:f>AVERAGEIFS(Recordings!$E$2:$E$778,Recordings!$A$2:$A$778,A41,Recordings!$D$2:$D$778,B41)</x:f>
        <x:v>1046.5</x:v>
      </x:c>
      <x:c r="D41" s="6" t="n">
        <x:f>AVERAGEIFS(Recordings!$F$2:$F$778,Recordings!$A$2:$A$778,A41,Recordings!$D$2:$D$778,B41)</x:f>
        <x:v>1026.25</x:v>
      </x:c>
      <x:c r="E41" s="7" t="n">
        <x:f>AVERAGEIFS(Recordings!$G$2:$G$778,Recordings!$A$2:$A$778,A41,Recordings!$D$2:$D$778,B41)</x:f>
        <x:v>0.020554037303541488</x:v>
      </x:c>
      <x:c r="F41" s="5" t="str">
        <x:v>CLAN</x:v>
      </x:c>
      <x:c r="G41" s="5" t="n">
        <x:v>4</x:v>
      </x:c>
    </x:row>
    <x:row r="42">
      <x:c r="A42" s="5" t="str">
        <x:v>P2</x:v>
      </x:c>
      <x:c r="B42" s="5" t="str">
        <x:v>mlu_words</x:v>
      </x:c>
      <x:c r="C42" s="6" t="n">
        <x:f>AVERAGEIFS(Recordings!$E$2:$E$778,Recordings!$A$2:$A$778,A42,Recordings!$D$2:$D$778,B42)</x:f>
        <x:v>11.83150867823765</x:v>
      </x:c>
      <x:c r="D42" s="6" t="n">
        <x:f>AVERAGEIFS(Recordings!$F$2:$F$778,Recordings!$A$2:$A$778,A42,Recordings!$D$2:$D$778,B42)</x:f>
        <x:v>13.31925</x:v>
      </x:c>
      <x:c r="E42" s="7" t="n">
        <x:f>AVERAGEIFS(Recordings!$G$2:$G$778,Recordings!$A$2:$A$778,A42,Recordings!$D$2:$D$778,B42)</x:f>
        <x:v>0.11563695002183084</x:v>
      </x:c>
      <x:c r="F42" s="5" t="str">
        <x:v>CLAN</x:v>
      </x:c>
      <x:c r="G42" s="5" t="n">
        <x:v>4</x:v>
      </x:c>
    </x:row>
    <x:row r="43">
      <x:c r="A43" s="5" t="str">
        <x:v>P2</x:v>
      </x:c>
      <x:c r="B43" s="5" t="str">
        <x:v>mlu_words_sd</x:v>
      </x:c>
      <x:c r="C43" s="6" t="n">
        <x:f>AVERAGEIFS(Recordings!$E$2:$E$778,Recordings!$A$2:$A$778,A43,Recordings!$D$2:$D$778,B43)</x:f>
        <x:v>8.635006749003002</x:v>
      </x:c>
      <x:c r="D43" s="6" t="n">
        <x:f>AVERAGEIFS(Recordings!$F$2:$F$778,Recordings!$A$2:$A$778,A43,Recordings!$D$2:$D$778,B43)</x:f>
        <x:v>8.17</x:v>
      </x:c>
      <x:c r="E43" s="7" t="n">
        <x:f>AVERAGEIFS(Recordings!$G$2:$G$778,Recordings!$A$2:$A$778,A43,Recordings!$D$2:$D$778,B43)</x:f>
        <x:v>0.05900874333558892</x:v>
      </x:c>
      <x:c r="F43" s="5" t="str">
        <x:v>CLAN</x:v>
      </x:c>
      <x:c r="G43" s="5" t="n">
        <x:v>4</x:v>
      </x:c>
    </x:row>
    <x:row r="44">
      <x:c r="A44" s="5" t="str">
        <x:v>P3</x:v>
      </x:c>
      <x:c r="B44" s="5" t="str">
        <x:v>basic_ntokens</x:v>
      </x:c>
      <x:c r="C44" s="6" t="n">
        <x:f>AVERAGEIFS(Recordings!$E$2:$E$778,Recordings!$A$2:$A$778,A44,Recordings!$D$2:$D$778,B44)</x:f>
        <x:v>923</x:v>
      </x:c>
      <x:c r="D44" s="6" t="n">
        <x:f>AVERAGEIFS(Recordings!$F$2:$F$778,Recordings!$A$2:$A$778,A44,Recordings!$D$2:$D$778,B44)</x:f>
        <x:v>885.75</x:v>
      </x:c>
      <x:c r="E44" s="7" t="n">
        <x:f>AVERAGEIFS(Recordings!$G$2:$G$778,Recordings!$A$2:$A$778,A44,Recordings!$D$2:$D$778,B44)</x:f>
        <x:v>0.04203082350597219</x:v>
      </x:c>
      <x:c r="F44" s="5" t="str">
        <x:v>TAALED</x:v>
      </x:c>
      <x:c r="G44" s="5" t="n">
        <x:v>4</x:v>
      </x:c>
    </x:row>
    <x:row r="45">
      <x:c r="A45" s="5" t="str">
        <x:v>P3</x:v>
      </x:c>
      <x:c r="B45" s="5" t="str">
        <x:v>basic_ntypes</x:v>
      </x:c>
      <x:c r="C45" s="6" t="n">
        <x:f>AVERAGEIFS(Recordings!$E$2:$E$778,Recordings!$A$2:$A$778,A45,Recordings!$D$2:$D$778,B45)</x:f>
        <x:v>265.75</x:v>
      </x:c>
      <x:c r="D45" s="6" t="n">
        <x:f>AVERAGEIFS(Recordings!$F$2:$F$778,Recordings!$A$2:$A$778,A45,Recordings!$D$2:$D$778,B45)</x:f>
        <x:v>271</x:v>
      </x:c>
      <x:c r="E45" s="7" t="n">
        <x:f>AVERAGEIFS(Recordings!$G$2:$G$778,Recordings!$A$2:$A$778,A45,Recordings!$D$2:$D$778,B45)</x:f>
        <x:v>0.026196793170280022</x:v>
      </x:c>
      <x:c r="F45" s="5" t="str">
        <x:v>TAALED</x:v>
      </x:c>
      <x:c r="G45" s="5" t="n">
        <x:v>4</x:v>
      </x:c>
    </x:row>
    <x:row r="46">
      <x:c r="A46" s="5" t="str">
        <x:v>P3</x:v>
      </x:c>
      <x:c r="B46" s="5" t="str">
        <x:v>basic_ncontent_tokens</x:v>
      </x:c>
      <x:c r="C46" s="6" t="n">
        <x:f>AVERAGEIFS(Recordings!$E$2:$E$778,Recordings!$A$2:$A$778,A46,Recordings!$D$2:$D$778,B46)</x:f>
        <x:v>309.75</x:v>
      </x:c>
      <x:c r="D46" s="6" t="n">
        <x:f>AVERAGEIFS(Recordings!$F$2:$F$778,Recordings!$A$2:$A$778,A46,Recordings!$D$2:$D$778,B46)</x:f>
        <x:v>313.5</x:v>
      </x:c>
      <x:c r="E46" s="7" t="n">
        <x:f>AVERAGEIFS(Recordings!$G$2:$G$778,Recordings!$A$2:$A$778,A46,Recordings!$D$2:$D$778,B46)</x:f>
        <x:v>0.026149617035195853</x:v>
      </x:c>
      <x:c r="F46" s="5" t="str">
        <x:v>TAALED</x:v>
      </x:c>
      <x:c r="G46" s="5" t="n">
        <x:v>4</x:v>
      </x:c>
    </x:row>
    <x:row r="47">
      <x:c r="A47" s="5" t="str">
        <x:v>P3</x:v>
      </x:c>
      <x:c r="B47" s="5" t="str">
        <x:v>basic_ncontent_types</x:v>
      </x:c>
      <x:c r="C47" s="6" t="n">
        <x:f>AVERAGEIFS(Recordings!$E$2:$E$778,Recordings!$A$2:$A$778,A47,Recordings!$D$2:$D$778,B47)</x:f>
        <x:v>164.5</x:v>
      </x:c>
      <x:c r="D47" s="6" t="n">
        <x:f>AVERAGEIFS(Recordings!$F$2:$F$778,Recordings!$A$2:$A$778,A47,Recordings!$D$2:$D$778,B47)</x:f>
        <x:v>168</x:v>
      </x:c>
      <x:c r="E47" s="7" t="n">
        <x:f>AVERAGEIFS(Recordings!$G$2:$G$778,Recordings!$A$2:$A$778,A47,Recordings!$D$2:$D$778,B47)</x:f>
        <x:v>0.027750388029975412</x:v>
      </x:c>
      <x:c r="F47" s="5" t="str">
        <x:v>TAALED</x:v>
      </x:c>
      <x:c r="G47" s="5" t="n">
        <x:v>4</x:v>
      </x:c>
    </x:row>
    <x:row r="48">
      <x:c r="A48" s="5" t="str">
        <x:v>P3</x:v>
      </x:c>
      <x:c r="B48" s="5" t="str">
        <x:v>basic_nfunction_tokens</x:v>
      </x:c>
      <x:c r="C48" s="6" t="n">
        <x:f>AVERAGEIFS(Recordings!$E$2:$E$778,Recordings!$A$2:$A$778,A48,Recordings!$D$2:$D$778,B48)</x:f>
        <x:v>613.25</x:v>
      </x:c>
      <x:c r="D48" s="6" t="n">
        <x:f>AVERAGEIFS(Recordings!$F$2:$F$778,Recordings!$A$2:$A$778,A48,Recordings!$D$2:$D$778,B48)</x:f>
        <x:v>572.25</x:v>
      </x:c>
      <x:c r="E48" s="7" t="n">
        <x:f>AVERAGEIFS(Recordings!$G$2:$G$778,Recordings!$A$2:$A$778,A48,Recordings!$D$2:$D$778,B48)</x:f>
        <x:v>0.07543162363132849</x:v>
      </x:c>
      <x:c r="F48" s="5" t="str">
        <x:v>TAALED</x:v>
      </x:c>
      <x:c r="G48" s="5" t="n">
        <x:v>4</x:v>
      </x:c>
    </x:row>
    <x:row r="49">
      <x:c r="A49" s="5" t="str">
        <x:v>P3</x:v>
      </x:c>
      <x:c r="B49" s="5" t="str">
        <x:v>basic_nfunction_types</x:v>
      </x:c>
      <x:c r="C49" s="6" t="n">
        <x:f>AVERAGEIFS(Recordings!$E$2:$E$778,Recordings!$A$2:$A$778,A49,Recordings!$D$2:$D$778,B49)</x:f>
        <x:v>101.25</x:v>
      </x:c>
      <x:c r="D49" s="6" t="n">
        <x:f>AVERAGEIFS(Recordings!$F$2:$F$778,Recordings!$A$2:$A$778,A49,Recordings!$D$2:$D$778,B49)</x:f>
        <x:v>103</x:v>
      </x:c>
      <x:c r="E49" s="7" t="n">
        <x:f>AVERAGEIFS(Recordings!$G$2:$G$778,Recordings!$A$2:$A$778,A49,Recordings!$D$2:$D$778,B49)</x:f>
        <x:v>0.026514515858365496</x:v>
      </x:c>
      <x:c r="F49" s="5" t="str">
        <x:v>TAALED</x:v>
      </x:c>
      <x:c r="G49" s="5" t="n">
        <x:v>4</x:v>
      </x:c>
    </x:row>
    <x:row r="50">
      <x:c r="A50" s="5" t="str">
        <x:v>P3</x:v>
      </x:c>
      <x:c r="B50" s="5" t="str">
        <x:v>lexical_density_tokens</x:v>
      </x:c>
      <x:c r="C50" s="6" t="n">
        <x:f>AVERAGEIFS(Recordings!$E$2:$E$778,Recordings!$A$2:$A$778,A50,Recordings!$D$2:$D$778,B50)</x:f>
        <x:v>0.33473241336502907</x:v>
      </x:c>
      <x:c r="D50" s="6" t="n">
        <x:f>AVERAGEIFS(Recordings!$F$2:$F$778,Recordings!$A$2:$A$778,A50,Recordings!$D$2:$D$778,B50)</x:f>
        <x:v>0.3549949332446162</x:v>
      </x:c>
      <x:c r="E50" s="7" t="n">
        <x:f>AVERAGEIFS(Recordings!$G$2:$G$778,Recordings!$A$2:$A$778,A50,Recordings!$D$2:$D$778,B50)</x:f>
        <x:v>0.05637039990741191</x:v>
      </x:c>
      <x:c r="F50" s="5" t="str">
        <x:v>TAALED</x:v>
      </x:c>
      <x:c r="G50" s="5" t="n">
        <x:v>4</x:v>
      </x:c>
    </x:row>
    <x:row r="51">
      <x:c r="A51" s="5" t="str">
        <x:v>P3</x:v>
      </x:c>
      <x:c r="B51" s="5" t="str">
        <x:v>lexical_density_types</x:v>
      </x:c>
      <x:c r="C51" s="6" t="n">
        <x:f>AVERAGEIFS(Recordings!$E$2:$E$778,Recordings!$A$2:$A$778,A51,Recordings!$D$2:$D$778,B51)</x:f>
        <x:v>0.6142593934355483</x:v>
      </x:c>
      <x:c r="D51" s="6" t="n">
        <x:f>AVERAGEIFS(Recordings!$F$2:$F$778,Recordings!$A$2:$A$778,A51,Recordings!$D$2:$D$778,B51)</x:f>
        <x:v>0.6158717060439087</x:v>
      </x:c>
      <x:c r="E51" s="7" t="n">
        <x:f>AVERAGEIFS(Recordings!$G$2:$G$778,Recordings!$A$2:$A$778,A51,Recordings!$D$2:$D$778,B51)</x:f>
        <x:v>0.011422676905072985</x:v>
      </x:c>
      <x:c r="F51" s="5" t="str">
        <x:v>TAALED</x:v>
      </x:c>
      <x:c r="G51" s="5" t="n">
        <x:v>4</x:v>
      </x:c>
    </x:row>
    <x:row r="52">
      <x:c r="A52" s="5" t="str">
        <x:v>P3</x:v>
      </x:c>
      <x:c r="B52" s="5" t="str">
        <x:v>simple_ttr_aw</x:v>
      </x:c>
      <x:c r="C52" s="6" t="n">
        <x:f>AVERAGEIFS(Recordings!$E$2:$E$778,Recordings!$A$2:$A$778,A52,Recordings!$D$2:$D$778,B52)</x:f>
        <x:v>0.29578370933740483</x:v>
      </x:c>
      <x:c r="D52" s="6" t="n">
        <x:f>AVERAGEIFS(Recordings!$F$2:$F$778,Recordings!$A$2:$A$778,A52,Recordings!$D$2:$D$778,B52)</x:f>
        <x:v>0.3160848067013391</x:v>
      </x:c>
      <x:c r="E52" s="7" t="n">
        <x:f>AVERAGEIFS(Recordings!$G$2:$G$778,Recordings!$A$2:$A$778,A52,Recordings!$D$2:$D$778,B52)</x:f>
        <x:v>0.06173770910916196</x:v>
      </x:c>
      <x:c r="F52" s="5" t="str">
        <x:v>TAALED</x:v>
      </x:c>
      <x:c r="G52" s="5" t="n">
        <x:v>4</x:v>
      </x:c>
    </x:row>
    <x:row r="53">
      <x:c r="A53" s="5" t="str">
        <x:v>P3</x:v>
      </x:c>
      <x:c r="B53" s="5" t="str">
        <x:v>root_ttr_aw</x:v>
      </x:c>
      <x:c r="C53" s="6" t="n">
        <x:f>AVERAGEIFS(Recordings!$E$2:$E$778,Recordings!$A$2:$A$778,A53,Recordings!$D$2:$D$778,B53)</x:f>
        <x:v>8.790585537987184</x:v>
      </x:c>
      <x:c r="D53" s="6" t="n">
        <x:f>AVERAGEIFS(Recordings!$F$2:$F$778,Recordings!$A$2:$A$778,A53,Recordings!$D$2:$D$778,B53)</x:f>
        <x:v>9.177694268156296</x:v>
      </x:c>
      <x:c r="E53" s="7" t="n">
        <x:f>AVERAGEIFS(Recordings!$G$2:$G$778,Recordings!$A$2:$A$778,A53,Recordings!$D$2:$D$778,B53)</x:f>
        <x:v>0.04257266107557119</x:v>
      </x:c>
      <x:c r="F53" s="5" t="str">
        <x:v>TAALED</x:v>
      </x:c>
      <x:c r="G53" s="5" t="n">
        <x:v>4</x:v>
      </x:c>
    </x:row>
    <x:row r="54">
      <x:c r="A54" s="5" t="str">
        <x:v>P3</x:v>
      </x:c>
      <x:c r="B54" s="5" t="str">
        <x:v>log_ttr_aw</x:v>
      </x:c>
      <x:c r="C54" s="6" t="n">
        <x:f>AVERAGEIFS(Recordings!$E$2:$E$778,Recordings!$A$2:$A$778,A54,Recordings!$D$2:$D$778,B54)</x:f>
        <x:v>0.8200688021180509</x:v>
      </x:c>
      <x:c r="D54" s="6" t="n">
        <x:f>AVERAGEIFS(Recordings!$F$2:$F$778,Recordings!$A$2:$A$778,A54,Recordings!$D$2:$D$778,B54)</x:f>
        <x:v>0.8286919777337988</x:v>
      </x:c>
      <x:c r="E54" s="7" t="n">
        <x:f>AVERAGEIFS(Recordings!$G$2:$G$778,Recordings!$A$2:$A$778,A54,Recordings!$D$2:$D$778,B54)</x:f>
        <x:v>0.010348526027347999</x:v>
      </x:c>
      <x:c r="F54" s="5" t="str">
        <x:v>TAALED</x:v>
      </x:c>
      <x:c r="G54" s="5" t="n">
        <x:v>4</x:v>
      </x:c>
    </x:row>
    <x:row r="55">
      <x:c r="A55" s="5" t="str">
        <x:v>P3</x:v>
      </x:c>
      <x:c r="B55" s="5" t="str">
        <x:v>maas_ttr_aw</x:v>
      </x:c>
      <x:c r="C55" s="6" t="n">
        <x:f>AVERAGEIFS(Recordings!$E$2:$E$778,Recordings!$A$2:$A$778,A55,Recordings!$D$2:$D$778,B55)</x:f>
        <x:v>0.060957861833560084</x:v>
      </x:c>
      <x:c r="D55" s="6" t="n">
        <x:f>AVERAGEIFS(Recordings!$F$2:$F$778,Recordings!$A$2:$A$778,A55,Recordings!$D$2:$D$778,B55)</x:f>
        <x:v>0.058335598714941365</x:v>
      </x:c>
      <x:c r="E55" s="7" t="n">
        <x:f>AVERAGEIFS(Recordings!$G$2:$G$778,Recordings!$A$2:$A$778,A55,Recordings!$D$2:$D$778,B55)</x:f>
        <x:v>0.04550661999415337</x:v>
      </x:c>
      <x:c r="F55" s="5" t="str">
        <x:v>TAALED</x:v>
      </x:c>
      <x:c r="G55" s="5" t="n">
        <x:v>4</x:v>
      </x:c>
    </x:row>
    <x:row r="56">
      <x:c r="A56" s="5" t="str">
        <x:v>P3</x:v>
      </x:c>
      <x:c r="B56" s="5" t="str">
        <x:v>mattr50_aw</x:v>
      </x:c>
      <x:c r="C56" s="6" t="n">
        <x:f>AVERAGEIFS(Recordings!$E$2:$E$778,Recordings!$A$2:$A$778,A56,Recordings!$D$2:$D$778,B56)</x:f>
        <x:v>0.7067699771517933</x:v>
      </x:c>
      <x:c r="D56" s="6" t="n">
        <x:f>AVERAGEIFS(Recordings!$F$2:$F$778,Recordings!$A$2:$A$778,A56,Recordings!$D$2:$D$778,B56)</x:f>
        <x:v>0.716537356711322</x:v>
      </x:c>
      <x:c r="E56" s="7" t="n">
        <x:f>AVERAGEIFS(Recordings!$G$2:$G$778,Recordings!$A$2:$A$778,A56,Recordings!$D$2:$D$778,B56)</x:f>
        <x:v>0.01630865762994635</x:v>
      </x:c>
      <x:c r="F56" s="5" t="str">
        <x:v>TAALED</x:v>
      </x:c>
      <x:c r="G56" s="5" t="n">
        <x:v>4</x:v>
      </x:c>
    </x:row>
    <x:row r="57">
      <x:c r="A57" s="5" t="str">
        <x:v>P3</x:v>
      </x:c>
      <x:c r="B57" s="5" t="str">
        <x:v>msttr50_aw</x:v>
      </x:c>
      <x:c r="C57" s="6" t="n">
        <x:f>AVERAGEIFS(Recordings!$E$2:$E$778,Recordings!$A$2:$A$778,A57,Recordings!$D$2:$D$778,B57)</x:f>
        <x:v>0.705129662004662</x:v>
      </x:c>
      <x:c r="D57" s="6" t="n">
        <x:f>AVERAGEIFS(Recordings!$F$2:$F$778,Recordings!$A$2:$A$778,A57,Recordings!$D$2:$D$778,B57)</x:f>
        <x:v>0.714049284049284</x:v>
      </x:c>
      <x:c r="E57" s="7" t="n">
        <x:f>AVERAGEIFS(Recordings!$G$2:$G$778,Recordings!$A$2:$A$778,A57,Recordings!$D$2:$D$778,B57)</x:f>
        <x:v>0.024040204027271403</x:v>
      </x:c>
      <x:c r="F57" s="5" t="str">
        <x:v>TAALED</x:v>
      </x:c>
      <x:c r="G57" s="5" t="n">
        <x:v>4</x:v>
      </x:c>
    </x:row>
    <x:row r="58">
      <x:c r="A58" s="5" t="str">
        <x:v>P3</x:v>
      </x:c>
      <x:c r="B58" s="5" t="str">
        <x:v>hdd42_aw</x:v>
      </x:c>
      <x:c r="C58" s="6" t="n">
        <x:f>AVERAGEIFS(Recordings!$E$2:$E$778,Recordings!$A$2:$A$778,A58,Recordings!$D$2:$D$778,B58)</x:f>
        <x:v>0.7918380800392907</x:v>
      </x:c>
      <x:c r="D58" s="6" t="n">
        <x:f>AVERAGEIFS(Recordings!$F$2:$F$778,Recordings!$A$2:$A$778,A58,Recordings!$D$2:$D$778,B58)</x:f>
        <x:v>0.8006280221982837</x:v>
      </x:c>
      <x:c r="E58" s="7" t="n">
        <x:f>AVERAGEIFS(Recordings!$G$2:$G$778,Recordings!$A$2:$A$778,A58,Recordings!$D$2:$D$778,B58)</x:f>
        <x:v>0.011188050895379071</x:v>
      </x:c>
      <x:c r="F58" s="5" t="str">
        <x:v>TAALED</x:v>
      </x:c>
      <x:c r="G58" s="5" t="n">
        <x:v>4</x:v>
      </x:c>
    </x:row>
    <x:row r="59">
      <x:c r="A59" s="5" t="str">
        <x:v>P3</x:v>
      </x:c>
      <x:c r="B59" s="5" t="str">
        <x:v>mtld_original_aw</x:v>
      </x:c>
      <x:c r="C59" s="6" t="n">
        <x:f>AVERAGEIFS(Recordings!$E$2:$E$778,Recordings!$A$2:$A$778,A59,Recordings!$D$2:$D$778,B59)</x:f>
        <x:v>42.48921743204636</x:v>
      </x:c>
      <x:c r="D59" s="6" t="n">
        <x:f>AVERAGEIFS(Recordings!$F$2:$F$778,Recordings!$A$2:$A$778,A59,Recordings!$D$2:$D$778,B59)</x:f>
        <x:v>45.26822026347269</x:v>
      </x:c>
      <x:c r="E59" s="7" t="n">
        <x:f>AVERAGEIFS(Recordings!$G$2:$G$778,Recordings!$A$2:$A$778,A59,Recordings!$D$2:$D$778,B59)</x:f>
        <x:v>0.10456660028013134</x:v>
      </x:c>
      <x:c r="F59" s="5" t="str">
        <x:v>TAALED</x:v>
      </x:c>
      <x:c r="G59" s="5" t="n">
        <x:v>4</x:v>
      </x:c>
    </x:row>
    <x:row r="60">
      <x:c r="A60" s="5" t="str">
        <x:v>P3</x:v>
      </x:c>
      <x:c r="B60" s="5" t="str">
        <x:v>mtld_mean_factor_length_aw</x:v>
      </x:c>
      <x:c r="C60" s="6" t="n">
        <x:f>AVERAGEIFS(Recordings!$E$2:$E$778,Recordings!$A$2:$A$778,A60,Recordings!$D$2:$D$778,B60)</x:f>
        <x:v>42.800576923076925</x:v>
      </x:c>
      <x:c r="D60" s="6" t="n">
        <x:f>AVERAGEIFS(Recordings!$F$2:$F$778,Recordings!$A$2:$A$778,A60,Recordings!$D$2:$D$778,B60)</x:f>
        <x:v>45.39799970948495</x:v>
      </x:c>
      <x:c r="E60" s="7" t="n">
        <x:f>AVERAGEIFS(Recordings!$G$2:$G$778,Recordings!$A$2:$A$778,A60,Recordings!$D$2:$D$778,B60)</x:f>
        <x:v>0.10666782129064167</x:v>
      </x:c>
      <x:c r="F60" s="5" t="str">
        <x:v>TAALED</x:v>
      </x:c>
      <x:c r="G60" s="5" t="n">
        <x:v>4</x:v>
      </x:c>
    </x:row>
    <x:row r="61">
      <x:c r="A61" s="5" t="str">
        <x:v>P3</x:v>
      </x:c>
      <x:c r="B61" s="5" t="str">
        <x:v>total_utterances</x:v>
      </x:c>
      <x:c r="C61" s="6" t="n">
        <x:f>AVERAGEIFS(Recordings!$E$2:$E$778,Recordings!$A$2:$A$778,A61,Recordings!$D$2:$D$778,B61)</x:f>
        <x:v>73.25</x:v>
      </x:c>
      <x:c r="D61" s="6" t="n">
        <x:f>AVERAGEIFS(Recordings!$F$2:$F$778,Recordings!$A$2:$A$778,A61,Recordings!$D$2:$D$778,B61)</x:f>
        <x:v>67</x:v>
      </x:c>
      <x:c r="E61" s="7" t="n">
        <x:f>AVERAGEIFS(Recordings!$G$2:$G$778,Recordings!$A$2:$A$778,A61,Recordings!$D$2:$D$778,B61)</x:f>
        <x:v>0.08487654320987655</x:v>
      </x:c>
      <x:c r="F61" s="5" t="str">
        <x:v>CLAN</x:v>
      </x:c>
      <x:c r="G61" s="5" t="n">
        <x:v>4</x:v>
      </x:c>
    </x:row>
    <x:row r="62">
      <x:c r="A62" s="5" t="str">
        <x:v>P3</x:v>
      </x:c>
      <x:c r="B62" s="5" t="str">
        <x:v>total_words</x:v>
      </x:c>
      <x:c r="C62" s="6" t="n">
        <x:f>AVERAGEIFS(Recordings!$E$2:$E$778,Recordings!$A$2:$A$778,A62,Recordings!$D$2:$D$778,B62)</x:f>
        <x:v>881.25</x:v>
      </x:c>
      <x:c r="D62" s="6" t="n">
        <x:f>AVERAGEIFS(Recordings!$F$2:$F$778,Recordings!$A$2:$A$778,A62,Recordings!$D$2:$D$778,B62)</x:f>
        <x:v>843.25</x:v>
      </x:c>
      <x:c r="E62" s="7" t="n">
        <x:f>AVERAGEIFS(Recordings!$G$2:$G$778,Recordings!$A$2:$A$778,A62,Recordings!$D$2:$D$778,B62)</x:f>
        <x:v>0.0456557910015149</x:v>
      </x:c>
      <x:c r="F62" s="5" t="str">
        <x:v>CLAN</x:v>
      </x:c>
      <x:c r="G62" s="5" t="n">
        <x:v>4</x:v>
      </x:c>
    </x:row>
    <x:row r="63">
      <x:c r="A63" s="5" t="str">
        <x:v>P3</x:v>
      </x:c>
      <x:c r="B63" s="5" t="str">
        <x:v>mlu_words</x:v>
      </x:c>
      <x:c r="C63" s="6" t="n">
        <x:f>AVERAGEIFS(Recordings!$E$2:$E$778,Recordings!$A$2:$A$778,A63,Recordings!$D$2:$D$778,B63)</x:f>
        <x:v>12.0410640668679</x:v>
      </x:c>
      <x:c r="D63" s="6" t="n">
        <x:f>AVERAGEIFS(Recordings!$F$2:$F$778,Recordings!$A$2:$A$778,A63,Recordings!$D$2:$D$778,B63)</x:f>
        <x:v>12.469</x:v>
      </x:c>
      <x:c r="E63" s="7" t="n">
        <x:f>AVERAGEIFS(Recordings!$G$2:$G$778,Recordings!$A$2:$A$778,A63,Recordings!$D$2:$D$778,B63)</x:f>
        <x:v>0.07478796657695955</x:v>
      </x:c>
      <x:c r="F63" s="5" t="str">
        <x:v>CLAN</x:v>
      </x:c>
      <x:c r="G63" s="5" t="n">
        <x:v>4</x:v>
      </x:c>
    </x:row>
    <x:row r="64">
      <x:c r="A64" s="5" t="str">
        <x:v>P3</x:v>
      </x:c>
      <x:c r="B64" s="5" t="str">
        <x:v>mlu_words_sd</x:v>
      </x:c>
      <x:c r="C64" s="6" t="n">
        <x:f>AVERAGEIFS(Recordings!$E$2:$E$778,Recordings!$A$2:$A$778,A64,Recordings!$D$2:$D$778,B64)</x:f>
        <x:v>9.488697781361923</x:v>
      </x:c>
      <x:c r="D64" s="6" t="n">
        <x:f>AVERAGEIFS(Recordings!$F$2:$F$778,Recordings!$A$2:$A$778,A64,Recordings!$D$2:$D$778,B64)</x:f>
        <x:v>9.025</x:v>
      </x:c>
      <x:c r="E64" s="7" t="n">
        <x:f>AVERAGEIFS(Recordings!$G$2:$G$778,Recordings!$A$2:$A$778,A64,Recordings!$D$2:$D$778,B64)</x:f>
        <x:v>0.09481607663477995</x:v>
      </x:c>
      <x:c r="F64" s="5" t="str">
        <x:v>CLAN</x:v>
      </x:c>
      <x:c r="G64" s="5" t="n">
        <x:v>4</x:v>
      </x:c>
    </x:row>
    <x:row r="65">
      <x:c r="A65" s="5" t="str">
        <x:v>P4</x:v>
      </x:c>
      <x:c r="B65" s="5" t="str">
        <x:v>basic_ntokens</x:v>
      </x:c>
      <x:c r="C65" s="6" t="n">
        <x:f>AVERAGEIFS(Recordings!$E$2:$E$778,Recordings!$A$2:$A$778,A65,Recordings!$D$2:$D$778,B65)</x:f>
        <x:v>486</x:v>
      </x:c>
      <x:c r="D65" s="6" t="n">
        <x:f>AVERAGEIFS(Recordings!$F$2:$F$778,Recordings!$A$2:$A$778,A65,Recordings!$D$2:$D$778,B65)</x:f>
        <x:v>491.5</x:v>
      </x:c>
      <x:c r="E65" s="7" t="n">
        <x:f>AVERAGEIFS(Recordings!$G$2:$G$778,Recordings!$A$2:$A$778,A65,Recordings!$D$2:$D$778,B65)</x:f>
        <x:v>0.012304408324291527</x:v>
      </x:c>
      <x:c r="F65" s="5" t="str">
        <x:v>TAALED</x:v>
      </x:c>
      <x:c r="G65" s="5" t="n">
        <x:v>4</x:v>
      </x:c>
    </x:row>
    <x:row r="66">
      <x:c r="A66" s="5" t="str">
        <x:v>P4</x:v>
      </x:c>
      <x:c r="B66" s="5" t="str">
        <x:v>basic_ntypes</x:v>
      </x:c>
      <x:c r="C66" s="6" t="n">
        <x:f>AVERAGEIFS(Recordings!$E$2:$E$778,Recordings!$A$2:$A$778,A66,Recordings!$D$2:$D$778,B66)</x:f>
        <x:v>162.25</x:v>
      </x:c>
      <x:c r="D66" s="6" t="n">
        <x:f>AVERAGEIFS(Recordings!$F$2:$F$778,Recordings!$A$2:$A$778,A66,Recordings!$D$2:$D$778,B66)</x:f>
        <x:v>164</x:v>
      </x:c>
      <x:c r="E66" s="7" t="n">
        <x:f>AVERAGEIFS(Recordings!$G$2:$G$778,Recordings!$A$2:$A$778,A66,Recordings!$D$2:$D$778,B66)</x:f>
        <x:v>0.012742992766726944</x:v>
      </x:c>
      <x:c r="F66" s="5" t="str">
        <x:v>TAALED</x:v>
      </x:c>
      <x:c r="G66" s="5" t="n">
        <x:v>4</x:v>
      </x:c>
    </x:row>
    <x:row r="67">
      <x:c r="A67" s="5" t="str">
        <x:v>P4</x:v>
      </x:c>
      <x:c r="B67" s="5" t="str">
        <x:v>basic_ncontent_tokens</x:v>
      </x:c>
      <x:c r="C67" s="6" t="n">
        <x:f>AVERAGEIFS(Recordings!$E$2:$E$778,Recordings!$A$2:$A$778,A67,Recordings!$D$2:$D$778,B67)</x:f>
        <x:v>180.25</x:v>
      </x:c>
      <x:c r="D67" s="6" t="n">
        <x:f>AVERAGEIFS(Recordings!$F$2:$F$778,Recordings!$A$2:$A$778,A67,Recordings!$D$2:$D$778,B67)</x:f>
        <x:v>195.5</x:v>
      </x:c>
      <x:c r="E67" s="7" t="n">
        <x:f>AVERAGEIFS(Recordings!$G$2:$G$778,Recordings!$A$2:$A$778,A67,Recordings!$D$2:$D$778,B67)</x:f>
        <x:v>0.08078044976443223</x:v>
      </x:c>
      <x:c r="F67" s="5" t="str">
        <x:v>TAALED</x:v>
      </x:c>
      <x:c r="G67" s="5" t="n">
        <x:v>4</x:v>
      </x:c>
    </x:row>
    <x:row r="68">
      <x:c r="A68" s="5" t="str">
        <x:v>P4</x:v>
      </x:c>
      <x:c r="B68" s="5" t="str">
        <x:v>basic_ncontent_types</x:v>
      </x:c>
      <x:c r="C68" s="6" t="n">
        <x:f>AVERAGEIFS(Recordings!$E$2:$E$778,Recordings!$A$2:$A$778,A68,Recordings!$D$2:$D$778,B68)</x:f>
        <x:v>100.5</x:v>
      </x:c>
      <x:c r="D68" s="6" t="n">
        <x:f>AVERAGEIFS(Recordings!$F$2:$F$778,Recordings!$A$2:$A$778,A68,Recordings!$D$2:$D$778,B68)</x:f>
        <x:v>103</x:v>
      </x:c>
      <x:c r="E68" s="7" t="n">
        <x:f>AVERAGEIFS(Recordings!$G$2:$G$778,Recordings!$A$2:$A$778,A68,Recordings!$D$2:$D$778,B68)</x:f>
        <x:v>0.023428865134757035</x:v>
      </x:c>
      <x:c r="F68" s="5" t="str">
        <x:v>TAALED</x:v>
      </x:c>
      <x:c r="G68" s="5" t="n">
        <x:v>4</x:v>
      </x:c>
    </x:row>
    <x:row r="69">
      <x:c r="A69" s="5" t="str">
        <x:v>P4</x:v>
      </x:c>
      <x:c r="B69" s="5" t="str">
        <x:v>basic_nfunction_tokens</x:v>
      </x:c>
      <x:c r="C69" s="6" t="n">
        <x:f>AVERAGEIFS(Recordings!$E$2:$E$778,Recordings!$A$2:$A$778,A69,Recordings!$D$2:$D$778,B69)</x:f>
        <x:v>305.75</x:v>
      </x:c>
      <x:c r="D69" s="6" t="n">
        <x:f>AVERAGEIFS(Recordings!$F$2:$F$778,Recordings!$A$2:$A$778,A69,Recordings!$D$2:$D$778,B69)</x:f>
        <x:v>296</x:v>
      </x:c>
      <x:c r="E69" s="7" t="n">
        <x:f>AVERAGEIFS(Recordings!$G$2:$G$778,Recordings!$A$2:$A$778,A69,Recordings!$D$2:$D$778,B69)</x:f>
        <x:v>0.048072974402364375</x:v>
      </x:c>
      <x:c r="F69" s="5" t="str">
        <x:v>TAALED</x:v>
      </x:c>
      <x:c r="G69" s="5" t="n">
        <x:v>4</x:v>
      </x:c>
    </x:row>
    <x:row r="70">
      <x:c r="A70" s="5" t="str">
        <x:v>P4</x:v>
      </x:c>
      <x:c r="B70" s="5" t="str">
        <x:v>basic_nfunction_types</x:v>
      </x:c>
      <x:c r="C70" s="6" t="n">
        <x:f>AVERAGEIFS(Recordings!$E$2:$E$778,Recordings!$A$2:$A$778,A70,Recordings!$D$2:$D$778,B70)</x:f>
        <x:v>61.75</x:v>
      </x:c>
      <x:c r="D70" s="6" t="n">
        <x:f>AVERAGEIFS(Recordings!$F$2:$F$778,Recordings!$A$2:$A$778,A70,Recordings!$D$2:$D$778,B70)</x:f>
        <x:v>61</x:v>
      </x:c>
      <x:c r="E70" s="7" t="n">
        <x:f>AVERAGEIFS(Recordings!$G$2:$G$778,Recordings!$A$2:$A$778,A70,Recordings!$D$2:$D$778,B70)</x:f>
        <x:v>0.02111528822055138</x:v>
      </x:c>
      <x:c r="F70" s="5" t="str">
        <x:v>TAALED</x:v>
      </x:c>
      <x:c r="G70" s="5" t="n">
        <x:v>4</x:v>
      </x:c>
    </x:row>
    <x:row r="71">
      <x:c r="A71" s="5" t="str">
        <x:v>P4</x:v>
      </x:c>
      <x:c r="B71" s="5" t="str">
        <x:v>lexical_density_tokens</x:v>
      </x:c>
      <x:c r="C71" s="6" t="n">
        <x:f>AVERAGEIFS(Recordings!$E$2:$E$778,Recordings!$A$2:$A$778,A71,Recordings!$D$2:$D$778,B71)</x:f>
        <x:v>0.3712831382930255</x:v>
      </x:c>
      <x:c r="D71" s="6" t="n">
        <x:f>AVERAGEIFS(Recordings!$F$2:$F$778,Recordings!$A$2:$A$778,A71,Recordings!$D$2:$D$778,B71)</x:f>
        <x:v>0.4024856310229866</x:v>
      </x:c>
      <x:c r="E71" s="7" t="n">
        <x:f>AVERAGEIFS(Recordings!$G$2:$G$778,Recordings!$A$2:$A$778,A71,Recordings!$D$2:$D$778,B71)</x:f>
        <x:v>0.0721888543150052</x:v>
      </x:c>
      <x:c r="F71" s="5" t="str">
        <x:v>TAALED</x:v>
      </x:c>
      <x:c r="G71" s="5" t="n">
        <x:v>4</x:v>
      </x:c>
    </x:row>
    <x:row r="72">
      <x:c r="A72" s="5" t="str">
        <x:v>P4</x:v>
      </x:c>
      <x:c r="B72" s="5" t="str">
        <x:v>lexical_density_types</x:v>
      </x:c>
      <x:c r="C72" s="6" t="n">
        <x:f>AVERAGEIFS(Recordings!$E$2:$E$778,Recordings!$A$2:$A$778,A72,Recordings!$D$2:$D$778,B72)</x:f>
        <x:v>0.6111112389166014</x:v>
      </x:c>
      <x:c r="D72" s="6" t="n">
        <x:f>AVERAGEIFS(Recordings!$F$2:$F$778,Recordings!$A$2:$A$778,A72,Recordings!$D$2:$D$778,B72)</x:f>
        <x:v>0.6198430213191206</x:v>
      </x:c>
      <x:c r="E72" s="7" t="n">
        <x:f>AVERAGEIFS(Recordings!$G$2:$G$778,Recordings!$A$2:$A$778,A72,Recordings!$D$2:$D$778,B72)</x:f>
        <x:v>0.013920817159438263</x:v>
      </x:c>
      <x:c r="F72" s="5" t="str">
        <x:v>TAALED</x:v>
      </x:c>
      <x:c r="G72" s="5" t="n">
        <x:v>4</x:v>
      </x:c>
    </x:row>
    <x:row r="73">
      <x:c r="A73" s="5" t="str">
        <x:v>P4</x:v>
      </x:c>
      <x:c r="B73" s="5" t="str">
        <x:v>simple_ttr_aw</x:v>
      </x:c>
      <x:c r="C73" s="6" t="n">
        <x:f>AVERAGEIFS(Recordings!$E$2:$E$778,Recordings!$A$2:$A$778,A73,Recordings!$D$2:$D$778,B73)</x:f>
        <x:v>0.3520643915704828</x:v>
      </x:c>
      <x:c r="D73" s="6" t="n">
        <x:f>AVERAGEIFS(Recordings!$F$2:$F$778,Recordings!$A$2:$A$778,A73,Recordings!$D$2:$D$778,B73)</x:f>
        <x:v>0.35183800786142666</x:v>
      </x:c>
      <x:c r="E73" s="7" t="n">
        <x:f>AVERAGEIFS(Recordings!$G$2:$G$778,Recordings!$A$2:$A$778,A73,Recordings!$D$2:$D$778,B73)</x:f>
        <x:v>0.013527109736359863</x:v>
      </x:c>
      <x:c r="F73" s="5" t="str">
        <x:v>TAALED</x:v>
      </x:c>
      <x:c r="G73" s="5" t="n">
        <x:v>4</x:v>
      </x:c>
    </x:row>
    <x:row r="74">
      <x:c r="A74" s="5" t="str">
        <x:v>P4</x:v>
      </x:c>
      <x:c r="B74" s="5" t="str">
        <x:v>root_ttr_aw</x:v>
      </x:c>
      <x:c r="C74" s="6" t="n">
        <x:f>AVERAGEIFS(Recordings!$E$2:$E$778,Recordings!$A$2:$A$778,A74,Recordings!$D$2:$D$778,B74)</x:f>
        <x:v>7.435101690405284</x:v>
      </x:c>
      <x:c r="D74" s="6" t="n">
        <x:f>AVERAGEIFS(Recordings!$F$2:$F$778,Recordings!$A$2:$A$778,A74,Recordings!$D$2:$D$778,B74)</x:f>
        <x:v>7.469017001078774</x:v>
      </x:c>
      <x:c r="E74" s="7" t="n">
        <x:f>AVERAGEIFS(Recordings!$G$2:$G$778,Recordings!$A$2:$A$778,A74,Recordings!$D$2:$D$778,B74)</x:f>
        <x:v>0.013139143716453642</x:v>
      </x:c>
      <x:c r="F74" s="5" t="str">
        <x:v>TAALED</x:v>
      </x:c>
      <x:c r="G74" s="5" t="n">
        <x:v>4</x:v>
      </x:c>
    </x:row>
    <x:row r="75">
      <x:c r="A75" s="5" t="str">
        <x:v>P4</x:v>
      </x:c>
      <x:c r="B75" s="5" t="str">
        <x:v>log_ttr_aw</x:v>
      </x:c>
      <x:c r="C75" s="6" t="n">
        <x:f>AVERAGEIFS(Recordings!$E$2:$E$778,Recordings!$A$2:$A$778,A75,Recordings!$D$2:$D$778,B75)</x:f>
        <x:v>0.8283761090715843</x:v>
      </x:c>
      <x:c r="D75" s="6" t="n">
        <x:f>AVERAGEIFS(Recordings!$F$2:$F$778,Recordings!$A$2:$A$778,A75,Recordings!$D$2:$D$778,B75)</x:f>
        <x:v>0.8286229042376688</x:v>
      </x:c>
      <x:c r="E75" s="7" t="n">
        <x:f>AVERAGEIFS(Recordings!$G$2:$G$778,Recordings!$A$2:$A$778,A75,Recordings!$D$2:$D$778,B75)</x:f>
        <x:v>0.002664867896519413</x:v>
      </x:c>
      <x:c r="F75" s="5" t="str">
        <x:v>TAALED</x:v>
      </x:c>
      <x:c r="G75" s="5" t="n">
        <x:v>4</x:v>
      </x:c>
    </x:row>
    <x:row r="76">
      <x:c r="A76" s="5" t="str">
        <x:v>P4</x:v>
      </x:c>
      <x:c r="B76" s="5" t="str">
        <x:v>maas_ttr_aw</x:v>
      </x:c>
      <x:c r="C76" s="6" t="n">
        <x:f>AVERAGEIFS(Recordings!$E$2:$E$778,Recordings!$A$2:$A$778,A76,Recordings!$D$2:$D$778,B76)</x:f>
        <x:v>0.06442633924282407</x:v>
      </x:c>
      <x:c r="D76" s="6" t="n">
        <x:f>AVERAGEIFS(Recordings!$F$2:$F$778,Recordings!$A$2:$A$778,A76,Recordings!$D$2:$D$778,B76)</x:f>
        <x:v>0.06423557174834041</x:v>
      </x:c>
      <x:c r="E76" s="7" t="n">
        <x:f>AVERAGEIFS(Recordings!$G$2:$G$778,Recordings!$A$2:$A$778,A76,Recordings!$D$2:$D$778,B76)</x:f>
        <x:v>0.012828914188493381</x:v>
      </x:c>
      <x:c r="F76" s="5" t="str">
        <x:v>TAALED</x:v>
      </x:c>
      <x:c r="G76" s="5" t="n">
        <x:v>4</x:v>
      </x:c>
    </x:row>
    <x:row r="77">
      <x:c r="A77" s="5" t="str">
        <x:v>P4</x:v>
      </x:c>
      <x:c r="B77" s="5" t="str">
        <x:v>mattr50_aw</x:v>
      </x:c>
      <x:c r="C77" s="6" t="n">
        <x:f>AVERAGEIFS(Recordings!$E$2:$E$778,Recordings!$A$2:$A$778,A77,Recordings!$D$2:$D$778,B77)</x:f>
        <x:v>0.6697652817629379</x:v>
      </x:c>
      <x:c r="D77" s="6" t="n">
        <x:f>AVERAGEIFS(Recordings!$F$2:$F$778,Recordings!$A$2:$A$778,A77,Recordings!$D$2:$D$778,B77)</x:f>
        <x:v>0.6712820916860718</x:v>
      </x:c>
      <x:c r="E77" s="7" t="n">
        <x:f>AVERAGEIFS(Recordings!$G$2:$G$778,Recordings!$A$2:$A$778,A77,Recordings!$D$2:$D$778,B77)</x:f>
        <x:v>0.005448589987414668</x:v>
      </x:c>
      <x:c r="F77" s="5" t="str">
        <x:v>TAALED</x:v>
      </x:c>
      <x:c r="G77" s="5" t="n">
        <x:v>4</x:v>
      </x:c>
    </x:row>
    <x:row r="78">
      <x:c r="A78" s="5" t="str">
        <x:v>P4</x:v>
      </x:c>
      <x:c r="B78" s="5" t="str">
        <x:v>msttr50_aw</x:v>
      </x:c>
      <x:c r="C78" s="6" t="n">
        <x:f>AVERAGEIFS(Recordings!$E$2:$E$778,Recordings!$A$2:$A$778,A78,Recordings!$D$2:$D$778,B78)</x:f>
        <x:v>0.6650314685314684</x:v>
      </x:c>
      <x:c r="D78" s="6" t="n">
        <x:f>AVERAGEIFS(Recordings!$F$2:$F$778,Recordings!$A$2:$A$778,A78,Recordings!$D$2:$D$778,B78)</x:f>
        <x:v>0.6808653846153846</x:v>
      </x:c>
      <x:c r="E78" s="7" t="n">
        <x:f>AVERAGEIFS(Recordings!$G$2:$G$778,Recordings!$A$2:$A$778,A78,Recordings!$D$2:$D$778,B78)</x:f>
        <x:v>0.024715695433557</x:v>
      </x:c>
      <x:c r="F78" s="5" t="str">
        <x:v>TAALED</x:v>
      </x:c>
      <x:c r="G78" s="5" t="n">
        <x:v>4</x:v>
      </x:c>
    </x:row>
    <x:row r="79">
      <x:c r="A79" s="5" t="str">
        <x:v>P4</x:v>
      </x:c>
      <x:c r="B79" s="5" t="str">
        <x:v>hdd42_aw</x:v>
      </x:c>
      <x:c r="C79" s="6" t="n">
        <x:f>AVERAGEIFS(Recordings!$E$2:$E$778,Recordings!$A$2:$A$778,A79,Recordings!$D$2:$D$778,B79)</x:f>
        <x:v>0.7632288345727081</x:v>
      </x:c>
      <x:c r="D79" s="6" t="n">
        <x:f>AVERAGEIFS(Recordings!$F$2:$F$778,Recordings!$A$2:$A$778,A79,Recordings!$D$2:$D$778,B79)</x:f>
        <x:v>0.7679687801408239</x:v>
      </x:c>
      <x:c r="E79" s="7" t="n">
        <x:f>AVERAGEIFS(Recordings!$G$2:$G$778,Recordings!$A$2:$A$778,A79,Recordings!$D$2:$D$778,B79)</x:f>
        <x:v>0.006160630848741992</x:v>
      </x:c>
      <x:c r="F79" s="5" t="str">
        <x:v>TAALED</x:v>
      </x:c>
      <x:c r="G79" s="5" t="n">
        <x:v>4</x:v>
      </x:c>
    </x:row>
    <x:row r="80">
      <x:c r="A80" s="5" t="str">
        <x:v>P4</x:v>
      </x:c>
      <x:c r="B80" s="5" t="str">
        <x:v>mtld_original_aw</x:v>
      </x:c>
      <x:c r="C80" s="6" t="n">
        <x:f>AVERAGEIFS(Recordings!$E$2:$E$778,Recordings!$A$2:$A$778,A80,Recordings!$D$2:$D$778,B80)</x:f>
        <x:v>31.72807366685337</x:v>
      </x:c>
      <x:c r="D80" s="6" t="n">
        <x:f>AVERAGEIFS(Recordings!$F$2:$F$778,Recordings!$A$2:$A$778,A80,Recordings!$D$2:$D$778,B80)</x:f>
        <x:v>32.67182654986826</x:v>
      </x:c>
      <x:c r="E80" s="7" t="n">
        <x:f>AVERAGEIFS(Recordings!$G$2:$G$778,Recordings!$A$2:$A$778,A80,Recordings!$D$2:$D$778,B80)</x:f>
        <x:v>0.02993571655914319</x:v>
      </x:c>
      <x:c r="F80" s="5" t="str">
        <x:v>TAALED</x:v>
      </x:c>
      <x:c r="G80" s="5" t="n">
        <x:v>4</x:v>
      </x:c>
    </x:row>
    <x:row r="81">
      <x:c r="A81" s="5" t="str">
        <x:v>P4</x:v>
      </x:c>
      <x:c r="B81" s="5" t="str">
        <x:v>mtld_mean_factor_length_aw</x:v>
      </x:c>
      <x:c r="C81" s="6" t="n">
        <x:f>AVERAGEIFS(Recordings!$E$2:$E$778,Recordings!$A$2:$A$778,A81,Recordings!$D$2:$D$778,B81)</x:f>
        <x:v>32.157622875817</x:v>
      </x:c>
      <x:c r="D81" s="6" t="n">
        <x:f>AVERAGEIFS(Recordings!$F$2:$F$778,Recordings!$A$2:$A$778,A81,Recordings!$D$2:$D$778,B81)</x:f>
        <x:v>32.49690317139002</x:v>
      </x:c>
      <x:c r="E81" s="7" t="n">
        <x:f>AVERAGEIFS(Recordings!$G$2:$G$778,Recordings!$A$2:$A$778,A81,Recordings!$D$2:$D$778,B81)</x:f>
        <x:v>0.014516640259981572</x:v>
      </x:c>
      <x:c r="F81" s="5" t="str">
        <x:v>TAALED</x:v>
      </x:c>
      <x:c r="G81" s="5" t="n">
        <x:v>4</x:v>
      </x:c>
    </x:row>
    <x:row r="82">
      <x:c r="A82" s="5" t="str">
        <x:v>P4</x:v>
      </x:c>
      <x:c r="B82" s="5" t="str">
        <x:v>total_utterances</x:v>
      </x:c>
      <x:c r="C82" s="6" t="n">
        <x:f>AVERAGEIFS(Recordings!$E$2:$E$778,Recordings!$A$2:$A$778,A82,Recordings!$D$2:$D$778,B82)</x:f>
        <x:v>69</x:v>
      </x:c>
      <x:c r="D82" s="6" t="n">
        <x:f>AVERAGEIFS(Recordings!$F$2:$F$778,Recordings!$A$2:$A$778,A82,Recordings!$D$2:$D$778,B82)</x:f>
        <x:v>61.5</x:v>
      </x:c>
      <x:c r="E82" s="7" t="n">
        <x:f>AVERAGEIFS(Recordings!$G$2:$G$778,Recordings!$A$2:$A$778,A82,Recordings!$D$2:$D$778,B82)</x:f>
        <x:v>0.1262324481074481</x:v>
      </x:c>
      <x:c r="F82" s="5" t="str">
        <x:v>CLAN</x:v>
      </x:c>
      <x:c r="G82" s="5" t="n">
        <x:v>4</x:v>
      </x:c>
    </x:row>
    <x:row r="83">
      <x:c r="A83" s="5" t="str">
        <x:v>P4</x:v>
      </x:c>
      <x:c r="B83" s="5" t="str">
        <x:v>total_words</x:v>
      </x:c>
      <x:c r="C83" s="6" t="n">
        <x:f>AVERAGEIFS(Recordings!$E$2:$E$778,Recordings!$A$2:$A$778,A83,Recordings!$D$2:$D$778,B83)</x:f>
        <x:v>471.5</x:v>
      </x:c>
      <x:c r="D83" s="6" t="n">
        <x:f>AVERAGEIFS(Recordings!$F$2:$F$778,Recordings!$A$2:$A$778,A83,Recordings!$D$2:$D$778,B83)</x:f>
        <x:v>469.75</x:v>
      </x:c>
      <x:c r="E83" s="7" t="n">
        <x:f>AVERAGEIFS(Recordings!$G$2:$G$778,Recordings!$A$2:$A$778,A83,Recordings!$D$2:$D$778,B83)</x:f>
        <x:v>0.013400235522032697</x:v>
      </x:c>
      <x:c r="F83" s="5" t="str">
        <x:v>CLAN</x:v>
      </x:c>
      <x:c r="G83" s="5" t="n">
        <x:v>4</x:v>
      </x:c>
    </x:row>
    <x:row r="84">
      <x:c r="A84" s="5" t="str">
        <x:v>P4</x:v>
      </x:c>
      <x:c r="B84" s="5" t="str">
        <x:v>mlu_words</x:v>
      </x:c>
      <x:c r="C84" s="6" t="n">
        <x:f>AVERAGEIFS(Recordings!$E$2:$E$778,Recordings!$A$2:$A$778,A84,Recordings!$D$2:$D$778,B84)</x:f>
        <x:v>7.339675685676799</x:v>
      </x:c>
      <x:c r="D84" s="6" t="n">
        <x:f>AVERAGEIFS(Recordings!$F$2:$F$778,Recordings!$A$2:$A$778,A84,Recordings!$D$2:$D$778,B84)</x:f>
        <x:v>8.071750000000002</x:v>
      </x:c>
      <x:c r="E84" s="7" t="n">
        <x:f>AVERAGEIFS(Recordings!$G$2:$G$778,Recordings!$A$2:$A$778,A84,Recordings!$D$2:$D$778,B84)</x:f>
        <x:v>0.09117658091324704</x:v>
      </x:c>
      <x:c r="F84" s="5" t="str">
        <x:v>CLAN</x:v>
      </x:c>
      <x:c r="G84" s="5" t="n">
        <x:v>4</x:v>
      </x:c>
    </x:row>
    <x:row r="85">
      <x:c r="A85" s="5" t="str">
        <x:v>P4</x:v>
      </x:c>
      <x:c r="B85" s="5" t="str">
        <x:v>mlu_words_sd</x:v>
      </x:c>
      <x:c r="C85" s="6" t="n">
        <x:f>AVERAGEIFS(Recordings!$E$2:$E$778,Recordings!$A$2:$A$778,A85,Recordings!$D$2:$D$778,B85)</x:f>
        <x:v>7.551947525228977</x:v>
      </x:c>
      <x:c r="D85" s="6" t="n">
        <x:f>AVERAGEIFS(Recordings!$F$2:$F$778,Recordings!$A$2:$A$778,A85,Recordings!$D$2:$D$778,B85)</x:f>
        <x:v>7.878</x:v>
      </x:c>
      <x:c r="E85" s="7" t="n">
        <x:f>AVERAGEIFS(Recordings!$G$2:$G$778,Recordings!$A$2:$A$778,A85,Recordings!$D$2:$D$778,B85)</x:f>
        <x:v>0.09287021384578795</x:v>
      </x:c>
      <x:c r="F85" s="5" t="str">
        <x:v>CLAN</x:v>
      </x:c>
      <x:c r="G85" s="5" t="n">
        <x:v>4</x:v>
      </x:c>
    </x:row>
    <x:row r="86">
      <x:c r="A86" s="5" t="str">
        <x:v>P5</x:v>
      </x:c>
      <x:c r="B86" s="5" t="str">
        <x:v>basic_ntokens</x:v>
      </x:c>
      <x:c r="C86" s="6" t="n">
        <x:f>AVERAGEIFS(Recordings!$E$2:$E$778,Recordings!$A$2:$A$778,A86,Recordings!$D$2:$D$778,B86)</x:f>
        <x:v>259.5</x:v>
      </x:c>
      <x:c r="D86" s="6" t="n">
        <x:f>AVERAGEIFS(Recordings!$F$2:$F$778,Recordings!$A$2:$A$778,A86,Recordings!$D$2:$D$778,B86)</x:f>
        <x:v>260.25</x:v>
      </x:c>
      <x:c r="E86" s="7" t="n">
        <x:f>AVERAGEIFS(Recordings!$G$2:$G$778,Recordings!$A$2:$A$778,A86,Recordings!$D$2:$D$778,B86)</x:f>
        <x:v>0.0471639159463572</x:v>
      </x:c>
      <x:c r="F86" s="5" t="str">
        <x:v>TAALED</x:v>
      </x:c>
      <x:c r="G86" s="5" t="n">
        <x:v>4</x:v>
      </x:c>
    </x:row>
    <x:row r="87">
      <x:c r="A87" s="5" t="str">
        <x:v>P5</x:v>
      </x:c>
      <x:c r="B87" s="5" t="str">
        <x:v>basic_ntypes</x:v>
      </x:c>
      <x:c r="C87" s="6" t="n">
        <x:f>AVERAGEIFS(Recordings!$E$2:$E$778,Recordings!$A$2:$A$778,A87,Recordings!$D$2:$D$778,B87)</x:f>
        <x:v>131</x:v>
      </x:c>
      <x:c r="D87" s="6" t="n">
        <x:f>AVERAGEIFS(Recordings!$F$2:$F$778,Recordings!$A$2:$A$778,A87,Recordings!$D$2:$D$778,B87)</x:f>
        <x:v>130.75</x:v>
      </x:c>
      <x:c r="E87" s="7" t="n">
        <x:f>AVERAGEIFS(Recordings!$G$2:$G$778,Recordings!$A$2:$A$778,A87,Recordings!$D$2:$D$778,B87)</x:f>
        <x:v>0.05197606794050445</x:v>
      </x:c>
      <x:c r="F87" s="5" t="str">
        <x:v>TAALED</x:v>
      </x:c>
      <x:c r="G87" s="5" t="n">
        <x:v>4</x:v>
      </x:c>
    </x:row>
    <x:row r="88">
      <x:c r="A88" s="5" t="str">
        <x:v>P5</x:v>
      </x:c>
      <x:c r="B88" s="5" t="str">
        <x:v>basic_ncontent_tokens</x:v>
      </x:c>
      <x:c r="C88" s="6" t="n">
        <x:f>AVERAGEIFS(Recordings!$E$2:$E$778,Recordings!$A$2:$A$778,A88,Recordings!$D$2:$D$778,B88)</x:f>
        <x:v>115.25</x:v>
      </x:c>
      <x:c r="D88" s="6" t="n">
        <x:f>AVERAGEIFS(Recordings!$F$2:$F$778,Recordings!$A$2:$A$778,A88,Recordings!$D$2:$D$778,B88)</x:f>
        <x:v>115.5</x:v>
      </x:c>
      <x:c r="E88" s="7" t="n">
        <x:f>AVERAGEIFS(Recordings!$G$2:$G$778,Recordings!$A$2:$A$778,A88,Recordings!$D$2:$D$778,B88)</x:f>
        <x:v>0.06443390534712436</x:v>
      </x:c>
      <x:c r="F88" s="5" t="str">
        <x:v>TAALED</x:v>
      </x:c>
      <x:c r="G88" s="5" t="n">
        <x:v>4</x:v>
      </x:c>
    </x:row>
    <x:row r="89">
      <x:c r="A89" s="5" t="str">
        <x:v>P5</x:v>
      </x:c>
      <x:c r="B89" s="5" t="str">
        <x:v>basic_ncontent_types</x:v>
      </x:c>
      <x:c r="C89" s="6" t="n">
        <x:f>AVERAGEIFS(Recordings!$E$2:$E$778,Recordings!$A$2:$A$778,A89,Recordings!$D$2:$D$778,B89)</x:f>
        <x:v>79.75</x:v>
      </x:c>
      <x:c r="D89" s="6" t="n">
        <x:f>AVERAGEIFS(Recordings!$F$2:$F$778,Recordings!$A$2:$A$778,A89,Recordings!$D$2:$D$778,B89)</x:f>
        <x:v>80.25</x:v>
      </x:c>
      <x:c r="E89" s="7" t="n">
        <x:f>AVERAGEIFS(Recordings!$G$2:$G$778,Recordings!$A$2:$A$778,A89,Recordings!$D$2:$D$778,B89)</x:f>
        <x:v>0.06499667442633854</x:v>
      </x:c>
      <x:c r="F89" s="5" t="str">
        <x:v>TAALED</x:v>
      </x:c>
      <x:c r="G89" s="5" t="n">
        <x:v>4</x:v>
      </x:c>
    </x:row>
    <x:row r="90">
      <x:c r="A90" s="5" t="str">
        <x:v>P5</x:v>
      </x:c>
      <x:c r="B90" s="5" t="str">
        <x:v>basic_nfunction_tokens</x:v>
      </x:c>
      <x:c r="C90" s="6" t="n">
        <x:f>AVERAGEIFS(Recordings!$E$2:$E$778,Recordings!$A$2:$A$778,A90,Recordings!$D$2:$D$778,B90)</x:f>
        <x:v>144.25</x:v>
      </x:c>
      <x:c r="D90" s="6" t="n">
        <x:f>AVERAGEIFS(Recordings!$F$2:$F$778,Recordings!$A$2:$A$778,A90,Recordings!$D$2:$D$778,B90)</x:f>
        <x:v>144.75</x:v>
      </x:c>
      <x:c r="E90" s="7" t="n">
        <x:f>AVERAGEIFS(Recordings!$G$2:$G$778,Recordings!$A$2:$A$778,A90,Recordings!$D$2:$D$778,B90)</x:f>
        <x:v>0.03359185716458006</x:v>
      </x:c>
      <x:c r="F90" s="5" t="str">
        <x:v>TAALED</x:v>
      </x:c>
      <x:c r="G90" s="5" t="n">
        <x:v>4</x:v>
      </x:c>
    </x:row>
    <x:row r="91">
      <x:c r="A91" s="5" t="str">
        <x:v>P5</x:v>
      </x:c>
      <x:c r="B91" s="5" t="str">
        <x:v>basic_nfunction_types</x:v>
      </x:c>
      <x:c r="C91" s="6" t="n">
        <x:f>AVERAGEIFS(Recordings!$E$2:$E$778,Recordings!$A$2:$A$778,A91,Recordings!$D$2:$D$778,B91)</x:f>
        <x:v>51.25</x:v>
      </x:c>
      <x:c r="D91" s="6" t="n">
        <x:f>AVERAGEIFS(Recordings!$F$2:$F$778,Recordings!$A$2:$A$778,A91,Recordings!$D$2:$D$778,B91)</x:f>
        <x:v>50.5</x:v>
      </x:c>
      <x:c r="E91" s="7" t="n">
        <x:f>AVERAGEIFS(Recordings!$G$2:$G$778,Recordings!$A$2:$A$778,A91,Recordings!$D$2:$D$778,B91)</x:f>
        <x:v>0.04426546368221343</x:v>
      </x:c>
      <x:c r="F91" s="5" t="str">
        <x:v>TAALED</x:v>
      </x:c>
      <x:c r="G91" s="5" t="n">
        <x:v>4</x:v>
      </x:c>
    </x:row>
    <x:row r="92">
      <x:c r="A92" s="5" t="str">
        <x:v>P5</x:v>
      </x:c>
      <x:c r="B92" s="5" t="str">
        <x:v>lexical_density_tokens</x:v>
      </x:c>
      <x:c r="C92" s="6" t="n">
        <x:f>AVERAGEIFS(Recordings!$E$2:$E$778,Recordings!$A$2:$A$778,A92,Recordings!$D$2:$D$778,B92)</x:f>
        <x:v>0.44477066321734116</x:v>
      </x:c>
      <x:c r="D92" s="6" t="n">
        <x:f>AVERAGEIFS(Recordings!$F$2:$F$778,Recordings!$A$2:$A$778,A92,Recordings!$D$2:$D$778,B92)</x:f>
        <x:v>0.44487819118188954</x:v>
      </x:c>
      <x:c r="E92" s="7" t="n">
        <x:f>AVERAGEIFS(Recordings!$G$2:$G$778,Recordings!$A$2:$A$778,A92,Recordings!$D$2:$D$778,B92)</x:f>
        <x:v>0.02369085445351881</x:v>
      </x:c>
      <x:c r="F92" s="5" t="str">
        <x:v>TAALED</x:v>
      </x:c>
      <x:c r="G92" s="5" t="n">
        <x:v>4</x:v>
      </x:c>
    </x:row>
    <x:row r="93">
      <x:c r="A93" s="5" t="str">
        <x:v>P5</x:v>
      </x:c>
      <x:c r="B93" s="5" t="str">
        <x:v>lexical_density_types</x:v>
      </x:c>
      <x:c r="C93" s="6" t="n">
        <x:f>AVERAGEIFS(Recordings!$E$2:$E$778,Recordings!$A$2:$A$778,A93,Recordings!$D$2:$D$778,B93)</x:f>
        <x:v>0.6095797670041938</x:v>
      </x:c>
      <x:c r="D93" s="6" t="n">
        <x:f>AVERAGEIFS(Recordings!$F$2:$F$778,Recordings!$A$2:$A$778,A93,Recordings!$D$2:$D$778,B93)</x:f>
        <x:v>0.6174312213461165</x:v>
      </x:c>
      <x:c r="E93" s="7" t="n">
        <x:f>AVERAGEIFS(Recordings!$G$2:$G$778,Recordings!$A$2:$A$778,A93,Recordings!$D$2:$D$778,B93)</x:f>
        <x:v>0.025697577715095406</x:v>
      </x:c>
      <x:c r="F93" s="5" t="str">
        <x:v>TAALED</x:v>
      </x:c>
      <x:c r="G93" s="5" t="n">
        <x:v>4</x:v>
      </x:c>
    </x:row>
    <x:row r="94">
      <x:c r="A94" s="5" t="str">
        <x:v>P5</x:v>
      </x:c>
      <x:c r="B94" s="5" t="str">
        <x:v>simple_ttr_aw</x:v>
      </x:c>
      <x:c r="C94" s="6" t="n">
        <x:f>AVERAGEIFS(Recordings!$E$2:$E$778,Recordings!$A$2:$A$778,A94,Recordings!$D$2:$D$778,B94)</x:f>
        <x:v>0.5206304358746137</x:v>
      </x:c>
      <x:c r="D94" s="6" t="n">
        <x:f>AVERAGEIFS(Recordings!$F$2:$F$778,Recordings!$A$2:$A$778,A94,Recordings!$D$2:$D$778,B94)</x:f>
        <x:v>0.5168561484865635</x:v>
      </x:c>
      <x:c r="E94" s="7" t="n">
        <x:f>AVERAGEIFS(Recordings!$G$2:$G$778,Recordings!$A$2:$A$778,A94,Recordings!$D$2:$D$778,B94)</x:f>
        <x:v>0.01440086578696752</x:v>
      </x:c>
      <x:c r="F94" s="5" t="str">
        <x:v>TAALED</x:v>
      </x:c>
      <x:c r="G94" s="5" t="n">
        <x:v>4</x:v>
      </x:c>
    </x:row>
    <x:row r="95">
      <x:c r="A95" s="5" t="str">
        <x:v>P5</x:v>
      </x:c>
      <x:c r="B95" s="5" t="str">
        <x:v>root_ttr_aw</x:v>
      </x:c>
      <x:c r="C95" s="6" t="n">
        <x:f>AVERAGEIFS(Recordings!$E$2:$E$778,Recordings!$A$2:$A$778,A95,Recordings!$D$2:$D$778,B95)</x:f>
        <x:v>8.124722407687951</x:v>
      </x:c>
      <x:c r="D95" s="6" t="n">
        <x:f>AVERAGEIFS(Recordings!$F$2:$F$778,Recordings!$A$2:$A$778,A95,Recordings!$D$2:$D$778,B95)</x:f>
        <x:v>8.107070969938315</x:v>
      </x:c>
      <x:c r="E95" s="7" t="n">
        <x:f>AVERAGEIFS(Recordings!$G$2:$G$778,Recordings!$A$2:$A$778,A95,Recordings!$D$2:$D$778,B95)</x:f>
        <x:v>0.029919027670407827</x:v>
      </x:c>
      <x:c r="F95" s="5" t="str">
        <x:v>TAALED</x:v>
      </x:c>
      <x:c r="G95" s="5" t="n">
        <x:v>4</x:v>
      </x:c>
    </x:row>
    <x:row r="96">
      <x:c r="A96" s="5" t="str">
        <x:v>P5</x:v>
      </x:c>
      <x:c r="B96" s="5" t="str">
        <x:v>log_ttr_aw</x:v>
      </x:c>
      <x:c r="C96" s="6" t="n">
        <x:f>AVERAGEIFS(Recordings!$E$2:$E$778,Recordings!$A$2:$A$778,A96,Recordings!$D$2:$D$778,B96)</x:f>
        <x:v>0.8802596800382927</x:v>
      </x:c>
      <x:c r="D96" s="6" t="n">
        <x:f>AVERAGEIFS(Recordings!$F$2:$F$778,Recordings!$A$2:$A$778,A96,Recordings!$D$2:$D$778,B96)</x:f>
        <x:v>0.8795124680220262</x:v>
      </x:c>
      <x:c r="E96" s="7" t="n">
        <x:f>AVERAGEIFS(Recordings!$G$2:$G$778,Recordings!$A$2:$A$778,A96,Recordings!$D$2:$D$778,B96)</x:f>
        <x:v>0.0036109257519143555</x:v>
      </x:c>
      <x:c r="F96" s="5" t="str">
        <x:v>TAALED</x:v>
      </x:c>
      <x:c r="G96" s="5" t="n">
        <x:v>4</x:v>
      </x:c>
    </x:row>
    <x:row r="97">
      <x:c r="A97" s="5" t="str">
        <x:v>P5</x:v>
      </x:c>
      <x:c r="B97" s="5" t="str">
        <x:v>maas_ttr_aw</x:v>
      </x:c>
      <x:c r="C97" s="6" t="n">
        <x:f>AVERAGEIFS(Recordings!$E$2:$E$778,Recordings!$A$2:$A$778,A97,Recordings!$D$2:$D$778,B97)</x:f>
        <x:v>0.05018724098843536</x:v>
      </x:c>
      <x:c r="D97" s="6" t="n">
        <x:f>AVERAGEIFS(Recordings!$F$2:$F$778,Recordings!$A$2:$A$778,A97,Recordings!$D$2:$D$778,B97)</x:f>
        <x:v>0.05031137502870993</x:v>
      </x:c>
      <x:c r="E97" s="7" t="n">
        <x:f>AVERAGEIFS(Recordings!$G$2:$G$778,Recordings!$A$2:$A$778,A97,Recordings!$D$2:$D$778,B97)</x:f>
        <x:v>0.035343392049876146</x:v>
      </x:c>
      <x:c r="F97" s="5" t="str">
        <x:v>TAALED</x:v>
      </x:c>
      <x:c r="G97" s="5" t="n">
        <x:v>4</x:v>
      </x:c>
    </x:row>
    <x:row r="98">
      <x:c r="A98" s="5" t="str">
        <x:v>P5</x:v>
      </x:c>
      <x:c r="B98" s="5" t="str">
        <x:v>mattr50_aw</x:v>
      </x:c>
      <x:c r="C98" s="6" t="n">
        <x:f>AVERAGEIFS(Recordings!$E$2:$E$778,Recordings!$A$2:$A$778,A98,Recordings!$D$2:$D$778,B98)</x:f>
        <x:v>0.7431981331309565</x:v>
      </x:c>
      <x:c r="D98" s="6" t="n">
        <x:f>AVERAGEIFS(Recordings!$F$2:$F$778,Recordings!$A$2:$A$778,A98,Recordings!$D$2:$D$778,B98)</x:f>
        <x:v>0.7354434632725936</x:v>
      </x:c>
      <x:c r="E98" s="7" t="n">
        <x:f>AVERAGEIFS(Recordings!$G$2:$G$778,Recordings!$A$2:$A$778,A98,Recordings!$D$2:$D$778,B98)</x:f>
        <x:v>0.01076393373532647</x:v>
      </x:c>
      <x:c r="F98" s="5" t="str">
        <x:v>TAALED</x:v>
      </x:c>
      <x:c r="G98" s="5" t="n">
        <x:v>4</x:v>
      </x:c>
    </x:row>
    <x:row r="99">
      <x:c r="A99" s="5" t="str">
        <x:v>P5</x:v>
      </x:c>
      <x:c r="B99" s="5" t="str">
        <x:v>msttr50_aw</x:v>
      </x:c>
      <x:c r="C99" s="6" t="n">
        <x:f>AVERAGEIFS(Recordings!$E$2:$E$778,Recordings!$A$2:$A$778,A99,Recordings!$D$2:$D$778,B99)</x:f>
        <x:v>0.7445238095238096</x:v>
      </x:c>
      <x:c r="D99" s="6" t="n">
        <x:f>AVERAGEIFS(Recordings!$F$2:$F$778,Recordings!$A$2:$A$778,A99,Recordings!$D$2:$D$778,B99)</x:f>
        <x:v>0.7341666666666667</x:v>
      </x:c>
      <x:c r="E99" s="7" t="n">
        <x:f>AVERAGEIFS(Recordings!$G$2:$G$778,Recordings!$A$2:$A$778,A99,Recordings!$D$2:$D$778,B99)</x:f>
        <x:v>0.029789393192047233</x:v>
      </x:c>
      <x:c r="F99" s="5" t="str">
        <x:v>TAALED</x:v>
      </x:c>
      <x:c r="G99" s="5" t="n">
        <x:v>4</x:v>
      </x:c>
    </x:row>
    <x:row r="100">
      <x:c r="A100" s="5" t="str">
        <x:v>P5</x:v>
      </x:c>
      <x:c r="B100" s="5" t="str">
        <x:v>hdd42_aw</x:v>
      </x:c>
      <x:c r="C100" s="6" t="n">
        <x:f>AVERAGEIFS(Recordings!$E$2:$E$778,Recordings!$A$2:$A$778,A100,Recordings!$D$2:$D$778,B100)</x:f>
        <x:v>0.8014426949257694</x:v>
      </x:c>
      <x:c r="D100" s="6" t="n">
        <x:f>AVERAGEIFS(Recordings!$F$2:$F$778,Recordings!$A$2:$A$778,A100,Recordings!$D$2:$D$778,B100)</x:f>
        <x:v>0.7998663867761253</x:v>
      </x:c>
      <x:c r="E100" s="7" t="n">
        <x:f>AVERAGEIFS(Recordings!$G$2:$G$778,Recordings!$A$2:$A$778,A100,Recordings!$D$2:$D$778,B100)</x:f>
        <x:v>0.005888426860785742</x:v>
      </x:c>
      <x:c r="F100" s="5" t="str">
        <x:v>TAALED</x:v>
      </x:c>
      <x:c r="G100" s="5" t="n">
        <x:v>4</x:v>
      </x:c>
    </x:row>
    <x:row r="101">
      <x:c r="A101" s="5" t="str">
        <x:v>P5</x:v>
      </x:c>
      <x:c r="B101" s="5" t="str">
        <x:v>mtld_original_aw</x:v>
      </x:c>
      <x:c r="C101" s="6" t="n">
        <x:f>AVERAGEIFS(Recordings!$E$2:$E$778,Recordings!$A$2:$A$778,A101,Recordings!$D$2:$D$778,B101)</x:f>
        <x:v>51.90088552873396</x:v>
      </x:c>
      <x:c r="D101" s="6" t="n">
        <x:f>AVERAGEIFS(Recordings!$F$2:$F$778,Recordings!$A$2:$A$778,A101,Recordings!$D$2:$D$778,B101)</x:f>
        <x:v>51.764095514830125</x:v>
      </x:c>
      <x:c r="E101" s="7" t="n">
        <x:f>AVERAGEIFS(Recordings!$G$2:$G$778,Recordings!$A$2:$A$778,A101,Recordings!$D$2:$D$778,B101)</x:f>
        <x:v>0.04431211300597736</x:v>
      </x:c>
      <x:c r="F101" s="5" t="str">
        <x:v>TAALED</x:v>
      </x:c>
      <x:c r="G101" s="5" t="n">
        <x:v>4</x:v>
      </x:c>
    </x:row>
    <x:row r="102">
      <x:c r="A102" s="5" t="str">
        <x:v>P5</x:v>
      </x:c>
      <x:c r="B102" s="5" t="str">
        <x:v>mtld_mean_factor_length_aw</x:v>
      </x:c>
      <x:c r="C102" s="6" t="n">
        <x:f>AVERAGEIFS(Recordings!$E$2:$E$778,Recordings!$A$2:$A$778,A102,Recordings!$D$2:$D$778,B102)</x:f>
        <x:v>51.944913194444446</x:v>
      </x:c>
      <x:c r="D102" s="6" t="n">
        <x:f>AVERAGEIFS(Recordings!$F$2:$F$778,Recordings!$A$2:$A$778,A102,Recordings!$D$2:$D$778,B102)</x:f>
        <x:v>52.00726785714285</x:v>
      </x:c>
      <x:c r="E102" s="7" t="n">
        <x:f>AVERAGEIFS(Recordings!$G$2:$G$778,Recordings!$A$2:$A$778,A102,Recordings!$D$2:$D$778,B102)</x:f>
        <x:v>0.059637589810629006</x:v>
      </x:c>
      <x:c r="F102" s="5" t="str">
        <x:v>TAALED</x:v>
      </x:c>
      <x:c r="G102" s="5" t="n">
        <x:v>4</x:v>
      </x:c>
    </x:row>
    <x:row r="103">
      <x:c r="A103" s="5" t="str">
        <x:v>P5</x:v>
      </x:c>
      <x:c r="B103" s="5" t="str">
        <x:v>total_utterances</x:v>
      </x:c>
      <x:c r="C103" s="6" t="n">
        <x:f>AVERAGEIFS(Recordings!$E$2:$E$778,Recordings!$A$2:$A$778,A103,Recordings!$D$2:$D$778,B103)</x:f>
        <x:v>47</x:v>
      </x:c>
      <x:c r="D103" s="6" t="n">
        <x:f>AVERAGEIFS(Recordings!$F$2:$F$778,Recordings!$A$2:$A$778,A103,Recordings!$D$2:$D$778,B103)</x:f>
        <x:v>43</x:v>
      </x:c>
      <x:c r="E103" s="7" t="n">
        <x:f>AVERAGEIFS(Recordings!$G$2:$G$778,Recordings!$A$2:$A$778,A103,Recordings!$D$2:$D$778,B103)</x:f>
        <x:v>0.10174216027874564</x:v>
      </x:c>
      <x:c r="F103" s="5" t="str">
        <x:v>CLAN</x:v>
      </x:c>
      <x:c r="G103" s="5" t="n">
        <x:v>4</x:v>
      </x:c>
    </x:row>
    <x:row r="104">
      <x:c r="A104" s="5" t="str">
        <x:v>P5</x:v>
      </x:c>
      <x:c r="B104" s="5" t="str">
        <x:v>total_words</x:v>
      </x:c>
      <x:c r="C104" s="6" t="n">
        <x:f>AVERAGEIFS(Recordings!$E$2:$E$778,Recordings!$A$2:$A$778,A104,Recordings!$D$2:$D$778,B104)</x:f>
        <x:v>243.75</x:v>
      </x:c>
      <x:c r="D104" s="6" t="n">
        <x:f>AVERAGEIFS(Recordings!$F$2:$F$778,Recordings!$A$2:$A$778,A104,Recordings!$D$2:$D$778,B104)</x:f>
        <x:v>246</x:v>
      </x:c>
      <x:c r="E104" s="7" t="n">
        <x:f>AVERAGEIFS(Recordings!$G$2:$G$778,Recordings!$A$2:$A$778,A104,Recordings!$D$2:$D$778,B104)</x:f>
        <x:v>0.04589924689322616</x:v>
      </x:c>
      <x:c r="F104" s="5" t="str">
        <x:v>CLAN</x:v>
      </x:c>
      <x:c r="G104" s="5" t="n">
        <x:v>4</x:v>
      </x:c>
    </x:row>
    <x:row r="105">
      <x:c r="A105" s="5" t="str">
        <x:v>P5</x:v>
      </x:c>
      <x:c r="B105" s="5" t="str">
        <x:v>mlu_words</x:v>
      </x:c>
      <x:c r="C105" s="6" t="n">
        <x:f>AVERAGEIFS(Recordings!$E$2:$E$778,Recordings!$A$2:$A$778,A105,Recordings!$D$2:$D$778,B105)</x:f>
        <x:v>5.03044801476131</x:v>
      </x:c>
      <x:c r="D105" s="6" t="n">
        <x:f>AVERAGEIFS(Recordings!$F$2:$F$778,Recordings!$A$2:$A$778,A105,Recordings!$D$2:$D$778,B105)</x:f>
        <x:v>5.695</x:v>
      </x:c>
      <x:c r="E105" s="7" t="n">
        <x:f>AVERAGEIFS(Recordings!$G$2:$G$778,Recordings!$A$2:$A$778,A105,Recordings!$D$2:$D$778,B105)</x:f>
        <x:v>0.11793816792718853</x:v>
      </x:c>
      <x:c r="F105" s="5" t="str">
        <x:v>CLAN</x:v>
      </x:c>
      <x:c r="G105" s="5" t="n">
        <x:v>4</x:v>
      </x:c>
    </x:row>
    <x:row r="106">
      <x:c r="A106" s="5" t="str">
        <x:v>P5</x:v>
      </x:c>
      <x:c r="B106" s="5" t="str">
        <x:v>mlu_words_sd</x:v>
      </x:c>
      <x:c r="C106" s="6" t="n">
        <x:f>AVERAGEIFS(Recordings!$E$2:$E$778,Recordings!$A$2:$A$778,A106,Recordings!$D$2:$D$778,B106)</x:f>
        <x:v>4.792689636189875</x:v>
      </x:c>
      <x:c r="D106" s="6" t="n">
        <x:f>AVERAGEIFS(Recordings!$F$2:$F$778,Recordings!$A$2:$A$778,A106,Recordings!$D$2:$D$778,B106)</x:f>
        <x:v>5.395</x:v>
      </x:c>
      <x:c r="E106" s="7" t="n">
        <x:f>AVERAGEIFS(Recordings!$G$2:$G$778,Recordings!$A$2:$A$778,A106,Recordings!$D$2:$D$778,B106)</x:f>
        <x:v>0.1984325802537227</x:v>
      </x:c>
      <x:c r="F106" s="5" t="str">
        <x:v>CLAN</x:v>
      </x:c>
      <x:c r="G106" s="5" t="n">
        <x:v>4</x:v>
      </x:c>
    </x:row>
    <x:row r="107">
      <x:c r="A107" s="5" t="str">
        <x:v>P6</x:v>
      </x:c>
      <x:c r="B107" s="5" t="str">
        <x:v>basic_ntokens</x:v>
      </x:c>
      <x:c r="C107" s="6" t="n">
        <x:f>AVERAGEIFS(Recordings!$E$2:$E$778,Recordings!$A$2:$A$778,A107,Recordings!$D$2:$D$778,B107)</x:f>
        <x:v>314.75</x:v>
      </x:c>
      <x:c r="D107" s="6" t="n">
        <x:f>AVERAGEIFS(Recordings!$F$2:$F$778,Recordings!$A$2:$A$778,A107,Recordings!$D$2:$D$778,B107)</x:f>
        <x:v>349.75</x:v>
      </x:c>
      <x:c r="E107" s="7" t="n">
        <x:f>AVERAGEIFS(Recordings!$G$2:$G$778,Recordings!$A$2:$A$778,A107,Recordings!$D$2:$D$778,B107)</x:f>
        <x:v>0.10309984960664577</x:v>
      </x:c>
      <x:c r="F107" s="5" t="str">
        <x:v>TAALED</x:v>
      </x:c>
      <x:c r="G107" s="5" t="n">
        <x:v>4</x:v>
      </x:c>
    </x:row>
    <x:row r="108">
      <x:c r="A108" s="5" t="str">
        <x:v>P6</x:v>
      </x:c>
      <x:c r="B108" s="5" t="str">
        <x:v>basic_ntypes</x:v>
      </x:c>
      <x:c r="C108" s="6" t="n">
        <x:f>AVERAGEIFS(Recordings!$E$2:$E$778,Recordings!$A$2:$A$778,A108,Recordings!$D$2:$D$778,B108)</x:f>
        <x:v>127.5</x:v>
      </x:c>
      <x:c r="D108" s="6" t="n">
        <x:f>AVERAGEIFS(Recordings!$F$2:$F$778,Recordings!$A$2:$A$778,A108,Recordings!$D$2:$D$778,B108)</x:f>
        <x:v>141.25</x:v>
      </x:c>
      <x:c r="E108" s="7" t="n">
        <x:f>AVERAGEIFS(Recordings!$G$2:$G$778,Recordings!$A$2:$A$778,A108,Recordings!$D$2:$D$778,B108)</x:f>
        <x:v>0.1021939105886448</x:v>
      </x:c>
      <x:c r="F108" s="5" t="str">
        <x:v>TAALED</x:v>
      </x:c>
      <x:c r="G108" s="5" t="n">
        <x:v>4</x:v>
      </x:c>
    </x:row>
    <x:row r="109">
      <x:c r="A109" s="5" t="str">
        <x:v>P6</x:v>
      </x:c>
      <x:c r="B109" s="5" t="str">
        <x:v>basic_ncontent_tokens</x:v>
      </x:c>
      <x:c r="C109" s="6" t="n">
        <x:f>AVERAGEIFS(Recordings!$E$2:$E$778,Recordings!$A$2:$A$778,A109,Recordings!$D$2:$D$778,B109)</x:f>
        <x:v>130.25</x:v>
      </x:c>
      <x:c r="D109" s="6" t="n">
        <x:f>AVERAGEIFS(Recordings!$F$2:$F$778,Recordings!$A$2:$A$778,A109,Recordings!$D$2:$D$778,B109)</x:f>
        <x:v>148</x:v>
      </x:c>
      <x:c r="E109" s="7" t="n">
        <x:f>AVERAGEIFS(Recordings!$G$2:$G$778,Recordings!$A$2:$A$778,A109,Recordings!$D$2:$D$778,B109)</x:f>
        <x:v>0.12518492737964138</x:v>
      </x:c>
      <x:c r="F109" s="5" t="str">
        <x:v>TAALED</x:v>
      </x:c>
      <x:c r="G109" s="5" t="n">
        <x:v>4</x:v>
      </x:c>
    </x:row>
    <x:row r="110">
      <x:c r="A110" s="5" t="str">
        <x:v>P6</x:v>
      </x:c>
      <x:c r="B110" s="5" t="str">
        <x:v>basic_ncontent_types</x:v>
      </x:c>
      <x:c r="C110" s="6" t="n">
        <x:f>AVERAGEIFS(Recordings!$E$2:$E$778,Recordings!$A$2:$A$778,A110,Recordings!$D$2:$D$778,B110)</x:f>
        <x:v>76</x:v>
      </x:c>
      <x:c r="D110" s="6" t="n">
        <x:f>AVERAGEIFS(Recordings!$F$2:$F$778,Recordings!$A$2:$A$778,A110,Recordings!$D$2:$D$778,B110)</x:f>
        <x:v>84.75</x:v>
      </x:c>
      <x:c r="E110" s="7" t="n">
        <x:f>AVERAGEIFS(Recordings!$G$2:$G$778,Recordings!$A$2:$A$778,A110,Recordings!$D$2:$D$778,B110)</x:f>
        <x:v>0.10635962139126696</x:v>
      </x:c>
      <x:c r="F110" s="5" t="str">
        <x:v>TAALED</x:v>
      </x:c>
      <x:c r="G110" s="5" t="n">
        <x:v>4</x:v>
      </x:c>
    </x:row>
    <x:row r="111">
      <x:c r="A111" s="5" t="str">
        <x:v>P6</x:v>
      </x:c>
      <x:c r="B111" s="5" t="str">
        <x:v>basic_nfunction_tokens</x:v>
      </x:c>
      <x:c r="C111" s="6" t="n">
        <x:f>AVERAGEIFS(Recordings!$E$2:$E$778,Recordings!$A$2:$A$778,A111,Recordings!$D$2:$D$778,B111)</x:f>
        <x:v>184.5</x:v>
      </x:c>
      <x:c r="D111" s="6" t="n">
        <x:f>AVERAGEIFS(Recordings!$F$2:$F$778,Recordings!$A$2:$A$778,A111,Recordings!$D$2:$D$778,B111)</x:f>
        <x:v>201.75</x:v>
      </x:c>
      <x:c r="E111" s="7" t="n">
        <x:f>AVERAGEIFS(Recordings!$G$2:$G$778,Recordings!$A$2:$A$778,A111,Recordings!$D$2:$D$778,B111)</x:f>
        <x:v>0.08930501954980805</x:v>
      </x:c>
      <x:c r="F111" s="5" t="str">
        <x:v>TAALED</x:v>
      </x:c>
      <x:c r="G111" s="5" t="n">
        <x:v>4</x:v>
      </x:c>
    </x:row>
    <x:row r="112">
      <x:c r="A112" s="5" t="str">
        <x:v>P6</x:v>
      </x:c>
      <x:c r="B112" s="5" t="str">
        <x:v>basic_nfunction_types</x:v>
      </x:c>
      <x:c r="C112" s="6" t="n">
        <x:f>AVERAGEIFS(Recordings!$E$2:$E$778,Recordings!$A$2:$A$778,A112,Recordings!$D$2:$D$778,B112)</x:f>
        <x:v>51.5</x:v>
      </x:c>
      <x:c r="D112" s="6" t="n">
        <x:f>AVERAGEIFS(Recordings!$F$2:$F$778,Recordings!$A$2:$A$778,A112,Recordings!$D$2:$D$778,B112)</x:f>
        <x:v>56.5</x:v>
      </x:c>
      <x:c r="E112" s="7" t="n">
        <x:f>AVERAGEIFS(Recordings!$G$2:$G$778,Recordings!$A$2:$A$778,A112,Recordings!$D$2:$D$778,B112)</x:f>
        <x:v>0.09029048898186226</x:v>
      </x:c>
      <x:c r="F112" s="5" t="str">
        <x:v>TAALED</x:v>
      </x:c>
      <x:c r="G112" s="5" t="n">
        <x:v>4</x:v>
      </x:c>
    </x:row>
    <x:row r="113">
      <x:c r="A113" s="5" t="str">
        <x:v>P6</x:v>
      </x:c>
      <x:c r="B113" s="5" t="str">
        <x:v>lexical_density_tokens</x:v>
      </x:c>
      <x:c r="C113" s="6" t="n">
        <x:f>AVERAGEIFS(Recordings!$E$2:$E$778,Recordings!$A$2:$A$778,A113,Recordings!$D$2:$D$778,B113)</x:f>
        <x:v>0.4120842637148857</x:v>
      </x:c>
      <x:c r="D113" s="6" t="n">
        <x:f>AVERAGEIFS(Recordings!$F$2:$F$778,Recordings!$A$2:$A$778,A113,Recordings!$D$2:$D$778,B113)</x:f>
        <x:v>0.4229753274902926</x:v>
      </x:c>
      <x:c r="E113" s="7" t="n">
        <x:f>AVERAGEIFS(Recordings!$G$2:$G$778,Recordings!$A$2:$A$778,A113,Recordings!$D$2:$D$778,B113)</x:f>
        <x:v>0.03230925998472292</x:v>
      </x:c>
      <x:c r="F113" s="5" t="str">
        <x:v>TAALED</x:v>
      </x:c>
      <x:c r="G113" s="5" t="n">
        <x:v>4</x:v>
      </x:c>
    </x:row>
    <x:row r="114">
      <x:c r="A114" s="5" t="str">
        <x:v>P6</x:v>
      </x:c>
      <x:c r="B114" s="5" t="str">
        <x:v>lexical_density_types</x:v>
      </x:c>
      <x:c r="C114" s="6" t="n">
        <x:f>AVERAGEIFS(Recordings!$E$2:$E$778,Recordings!$A$2:$A$778,A114,Recordings!$D$2:$D$778,B114)</x:f>
        <x:v>0.5930668617588122</x:v>
      </x:c>
      <x:c r="D114" s="6" t="n">
        <x:f>AVERAGEIFS(Recordings!$F$2:$F$778,Recordings!$A$2:$A$778,A114,Recordings!$D$2:$D$778,B114)</x:f>
        <x:v>0.5991242420868622</x:v>
      </x:c>
      <x:c r="E114" s="7" t="n">
        <x:f>AVERAGEIFS(Recordings!$G$2:$G$778,Recordings!$A$2:$A$778,A114,Recordings!$D$2:$D$778,B114)</x:f>
        <x:v>0.033702459731408355</x:v>
      </x:c>
      <x:c r="F114" s="5" t="str">
        <x:v>TAALED</x:v>
      </x:c>
      <x:c r="G114" s="5" t="n">
        <x:v>4</x:v>
      </x:c>
    </x:row>
    <x:row r="115">
      <x:c r="A115" s="5" t="str">
        <x:v>P6</x:v>
      </x:c>
      <x:c r="B115" s="5" t="str">
        <x:v>simple_ttr_aw</x:v>
      </x:c>
      <x:c r="C115" s="6" t="n">
        <x:f>AVERAGEIFS(Recordings!$E$2:$E$778,Recordings!$A$2:$A$778,A115,Recordings!$D$2:$D$778,B115)</x:f>
        <x:v>0.4070333508509879</x:v>
      </x:c>
      <x:c r="D115" s="6" t="n">
        <x:f>AVERAGEIFS(Recordings!$F$2:$F$778,Recordings!$A$2:$A$778,A115,Recordings!$D$2:$D$778,B115)</x:f>
        <x:v>0.40384896000119935</x:v>
      </x:c>
      <x:c r="E115" s="7" t="n">
        <x:f>AVERAGEIFS(Recordings!$G$2:$G$778,Recordings!$A$2:$A$778,A115,Recordings!$D$2:$D$778,B115)</x:f>
        <x:v>0.04922979282911277</x:v>
      </x:c>
      <x:c r="F115" s="5" t="str">
        <x:v>TAALED</x:v>
      </x:c>
      <x:c r="G115" s="5" t="n">
        <x:v>4</x:v>
      </x:c>
    </x:row>
    <x:row r="116">
      <x:c r="A116" s="5" t="str">
        <x:v>P6</x:v>
      </x:c>
      <x:c r="B116" s="5" t="str">
        <x:v>root_ttr_aw</x:v>
      </x:c>
      <x:c r="C116" s="6" t="n">
        <x:f>AVERAGEIFS(Recordings!$E$2:$E$778,Recordings!$A$2:$A$778,A116,Recordings!$D$2:$D$778,B116)</x:f>
        <x:v>7.172418649069732</x:v>
      </x:c>
      <x:c r="D116" s="6" t="n">
        <x:f>AVERAGEIFS(Recordings!$F$2:$F$778,Recordings!$A$2:$A$778,A116,Recordings!$D$2:$D$778,B116)</x:f>
        <x:v>7.54562124720454</x:v>
      </x:c>
      <x:c r="E116" s="7" t="n">
        <x:f>AVERAGEIFS(Recordings!$G$2:$G$778,Recordings!$A$2:$A$778,A116,Recordings!$D$2:$D$778,B116)</x:f>
        <x:v>0.05080671907033034</x:v>
      </x:c>
      <x:c r="F116" s="5" t="str">
        <x:v>TAALED</x:v>
      </x:c>
      <x:c r="G116" s="5" t="n">
        <x:v>4</x:v>
      </x:c>
    </x:row>
    <x:row r="117">
      <x:c r="A117" s="5" t="str">
        <x:v>P6</x:v>
      </x:c>
      <x:c r="B117" s="5" t="str">
        <x:v>log_ttr_aw</x:v>
      </x:c>
      <x:c r="C117" s="6" t="n">
        <x:f>AVERAGEIFS(Recordings!$E$2:$E$778,Recordings!$A$2:$A$778,A117,Recordings!$D$2:$D$778,B117)</x:f>
        <x:v>0.8429472848858778</x:v>
      </x:c>
      <x:c r="D117" s="6" t="n">
        <x:f>AVERAGEIFS(Recordings!$F$2:$F$778,Recordings!$A$2:$A$778,A117,Recordings!$D$2:$D$778,B117)</x:f>
        <x:v>0.8449038455349351</x:v>
      </x:c>
      <x:c r="E117" s="7" t="n">
        <x:f>AVERAGEIFS(Recordings!$G$2:$G$778,Recordings!$A$2:$A$778,A117,Recordings!$D$2:$D$778,B117)</x:f>
        <x:v>0.0065750056131790675</x:v>
      </x:c>
      <x:c r="F117" s="5" t="str">
        <x:v>TAALED</x:v>
      </x:c>
      <x:c r="G117" s="5" t="n">
        <x:v>4</x:v>
      </x:c>
    </x:row>
    <x:row r="118">
      <x:c r="A118" s="5" t="str">
        <x:v>P6</x:v>
      </x:c>
      <x:c r="B118" s="5" t="str">
        <x:v>maas_ttr_aw</x:v>
      </x:c>
      <x:c r="C118" s="6" t="n">
        <x:f>AVERAGEIFS(Recordings!$E$2:$E$778,Recordings!$A$2:$A$778,A118,Recordings!$D$2:$D$778,B118)</x:f>
        <x:v>0.0631477195298894</x:v>
      </x:c>
      <x:c r="D118" s="6" t="n">
        <x:f>AVERAGEIFS(Recordings!$F$2:$F$778,Recordings!$A$2:$A$778,A118,Recordings!$D$2:$D$778,B118)</x:f>
        <x:v>0.061034710954618085</x:v>
      </x:c>
      <x:c r="E118" s="7" t="n">
        <x:f>AVERAGEIFS(Recordings!$G$2:$G$778,Recordings!$A$2:$A$778,A118,Recordings!$D$2:$D$778,B118)</x:f>
        <x:v>0.03423648391712198</x:v>
      </x:c>
      <x:c r="F118" s="5" t="str">
        <x:v>TAALED</x:v>
      </x:c>
      <x:c r="G118" s="5" t="n">
        <x:v>4</x:v>
      </x:c>
    </x:row>
    <x:row r="119">
      <x:c r="A119" s="5" t="str">
        <x:v>P6</x:v>
      </x:c>
      <x:c r="B119" s="5" t="str">
        <x:v>mattr50_aw</x:v>
      </x:c>
      <x:c r="C119" s="6" t="n">
        <x:f>AVERAGEIFS(Recordings!$E$2:$E$778,Recordings!$A$2:$A$778,A119,Recordings!$D$2:$D$778,B119)</x:f>
        <x:v>0.664405759158734</x:v>
      </x:c>
      <x:c r="D119" s="6" t="n">
        <x:f>AVERAGEIFS(Recordings!$F$2:$F$778,Recordings!$A$2:$A$778,A119,Recordings!$D$2:$D$778,B119)</x:f>
        <x:v>0.6808900147626743</x:v>
      </x:c>
      <x:c r="E119" s="7" t="n">
        <x:f>AVERAGEIFS(Recordings!$G$2:$G$778,Recordings!$A$2:$A$778,A119,Recordings!$D$2:$D$778,B119)</x:f>
        <x:v>0.02453308777977794</x:v>
      </x:c>
      <x:c r="F119" s="5" t="str">
        <x:v>TAALED</x:v>
      </x:c>
      <x:c r="G119" s="5" t="n">
        <x:v>4</x:v>
      </x:c>
    </x:row>
    <x:row r="120">
      <x:c r="A120" s="5" t="str">
        <x:v>P6</x:v>
      </x:c>
      <x:c r="B120" s="5" t="str">
        <x:v>msttr50_aw</x:v>
      </x:c>
      <x:c r="C120" s="6" t="n">
        <x:f>AVERAGEIFS(Recordings!$E$2:$E$778,Recordings!$A$2:$A$778,A120,Recordings!$D$2:$D$778,B120)</x:f>
        <x:v>0.6575595238095238</x:v>
      </x:c>
      <x:c r="D120" s="6" t="n">
        <x:f>AVERAGEIFS(Recordings!$F$2:$F$778,Recordings!$A$2:$A$778,A120,Recordings!$D$2:$D$778,B120)</x:f>
        <x:v>0.6801190476190476</x:v>
      </x:c>
      <x:c r="E120" s="7" t="n">
        <x:f>AVERAGEIFS(Recordings!$G$2:$G$778,Recordings!$A$2:$A$778,A120,Recordings!$D$2:$D$778,B120)</x:f>
        <x:v>0.03386803713527847</x:v>
      </x:c>
      <x:c r="F120" s="5" t="str">
        <x:v>TAALED</x:v>
      </x:c>
      <x:c r="G120" s="5" t="n">
        <x:v>4</x:v>
      </x:c>
    </x:row>
    <x:row r="121">
      <x:c r="A121" s="5" t="str">
        <x:v>P6</x:v>
      </x:c>
      <x:c r="B121" s="5" t="str">
        <x:v>hdd42_aw</x:v>
      </x:c>
      <x:c r="C121" s="6" t="n">
        <x:f>AVERAGEIFS(Recordings!$E$2:$E$778,Recordings!$A$2:$A$778,A121,Recordings!$D$2:$D$778,B121)</x:f>
        <x:v>0.7636755682848331</x:v>
      </x:c>
      <x:c r="D121" s="6" t="n">
        <x:f>AVERAGEIFS(Recordings!$F$2:$F$778,Recordings!$A$2:$A$778,A121,Recordings!$D$2:$D$778,B121)</x:f>
        <x:v>0.7823252903752891</x:v>
      </x:c>
      <x:c r="E121" s="7" t="n">
        <x:f>AVERAGEIFS(Recordings!$G$2:$G$778,Recordings!$A$2:$A$778,A121,Recordings!$D$2:$D$778,B121)</x:f>
        <x:v>0.024118837248492606</x:v>
      </x:c>
      <x:c r="F121" s="5" t="str">
        <x:v>TAALED</x:v>
      </x:c>
      <x:c r="G121" s="5" t="n">
        <x:v>4</x:v>
      </x:c>
    </x:row>
    <x:row r="122">
      <x:c r="A122" s="5" t="str">
        <x:v>P6</x:v>
      </x:c>
      <x:c r="B122" s="5" t="str">
        <x:v>mtld_original_aw</x:v>
      </x:c>
      <x:c r="C122" s="6" t="n">
        <x:f>AVERAGEIFS(Recordings!$E$2:$E$778,Recordings!$A$2:$A$778,A122,Recordings!$D$2:$D$778,B122)</x:f>
        <x:v>33.42330158672847</x:v>
      </x:c>
      <x:c r="D122" s="6" t="n">
        <x:f>AVERAGEIFS(Recordings!$F$2:$F$778,Recordings!$A$2:$A$778,A122,Recordings!$D$2:$D$778,B122)</x:f>
        <x:v>39.29946300550054</x:v>
      </x:c>
      <x:c r="E122" s="7" t="n">
        <x:f>AVERAGEIFS(Recordings!$G$2:$G$778,Recordings!$A$2:$A$778,A122,Recordings!$D$2:$D$778,B122)</x:f>
        <x:v>0.15480592402581744</x:v>
      </x:c>
      <x:c r="F122" s="5" t="str">
        <x:v>TAALED</x:v>
      </x:c>
      <x:c r="G122" s="5" t="n">
        <x:v>4</x:v>
      </x:c>
    </x:row>
    <x:row r="123">
      <x:c r="A123" s="5" t="str">
        <x:v>P6</x:v>
      </x:c>
      <x:c r="B123" s="5" t="str">
        <x:v>mtld_mean_factor_length_aw</x:v>
      </x:c>
      <x:c r="C123" s="6" t="n">
        <x:f>AVERAGEIFS(Recordings!$E$2:$E$778,Recordings!$A$2:$A$778,A123,Recordings!$D$2:$D$778,B123)</x:f>
        <x:v>32.899010860484545</x:v>
      </x:c>
      <x:c r="D123" s="6" t="n">
        <x:f>AVERAGEIFS(Recordings!$F$2:$F$778,Recordings!$A$2:$A$778,A123,Recordings!$D$2:$D$778,B123)</x:f>
        <x:v>39.92736111111112</x:v>
      </x:c>
      <x:c r="E123" s="7" t="n">
        <x:f>AVERAGEIFS(Recordings!$G$2:$G$778,Recordings!$A$2:$A$778,A123,Recordings!$D$2:$D$778,B123)</x:f>
        <x:v>0.18125286812725766</x:v>
      </x:c>
      <x:c r="F123" s="5" t="str">
        <x:v>TAALED</x:v>
      </x:c>
      <x:c r="G123" s="5" t="n">
        <x:v>4</x:v>
      </x:c>
    </x:row>
    <x:row r="124">
      <x:c r="A124" s="5" t="str">
        <x:v>P6</x:v>
      </x:c>
      <x:c r="B124" s="5" t="str">
        <x:v>total_utterances</x:v>
      </x:c>
      <x:c r="C124" s="6" t="n">
        <x:f>AVERAGEIFS(Recordings!$E$2:$E$778,Recordings!$A$2:$A$778,A124,Recordings!$D$2:$D$778,B124)</x:f>
        <x:v>53</x:v>
      </x:c>
      <x:c r="D124" s="6" t="n">
        <x:f>AVERAGEIFS(Recordings!$F$2:$F$778,Recordings!$A$2:$A$778,A124,Recordings!$D$2:$D$778,B124)</x:f>
        <x:v>59.75</x:v>
      </x:c>
      <x:c r="E124" s="7" t="n">
        <x:f>AVERAGEIFS(Recordings!$G$2:$G$778,Recordings!$A$2:$A$778,A124,Recordings!$D$2:$D$778,B124)</x:f>
        <x:v>0.12529895766402513</x:v>
      </x:c>
      <x:c r="F124" s="5" t="str">
        <x:v>CLAN</x:v>
      </x:c>
      <x:c r="G124" s="5" t="n">
        <x:v>4</x:v>
      </x:c>
    </x:row>
    <x:row r="125">
      <x:c r="A125" s="5" t="str">
        <x:v>P6</x:v>
      </x:c>
      <x:c r="B125" s="5" t="str">
        <x:v>total_words</x:v>
      </x:c>
      <x:c r="C125" s="6" t="n">
        <x:f>AVERAGEIFS(Recordings!$E$2:$E$778,Recordings!$A$2:$A$778,A125,Recordings!$D$2:$D$778,B125)</x:f>
        <x:v>302.75</x:v>
      </x:c>
      <x:c r="D125" s="6" t="n">
        <x:f>AVERAGEIFS(Recordings!$F$2:$F$778,Recordings!$A$2:$A$778,A125,Recordings!$D$2:$D$778,B125)</x:f>
        <x:v>336.75</x:v>
      </x:c>
      <x:c r="E125" s="7" t="n">
        <x:f>AVERAGEIFS(Recordings!$G$2:$G$778,Recordings!$A$2:$A$778,A125,Recordings!$D$2:$D$778,B125)</x:f>
        <x:v>0.10265647909920736</x:v>
      </x:c>
      <x:c r="F125" s="5" t="str">
        <x:v>CLAN</x:v>
      </x:c>
      <x:c r="G125" s="5" t="n">
        <x:v>4</x:v>
      </x:c>
    </x:row>
    <x:row r="126">
      <x:c r="A126" s="5" t="str">
        <x:v>P6</x:v>
      </x:c>
      <x:c r="B126" s="5" t="str">
        <x:v>mlu_words</x:v>
      </x:c>
      <x:c r="C126" s="6" t="n">
        <x:f>AVERAGEIFS(Recordings!$E$2:$E$778,Recordings!$A$2:$A$778,A126,Recordings!$D$2:$D$778,B126)</x:f>
        <x:v>5.697758607889564</x:v>
      </x:c>
      <x:c r="D126" s="6" t="n">
        <x:f>AVERAGEIFS(Recordings!$F$2:$F$778,Recordings!$A$2:$A$778,A126,Recordings!$D$2:$D$778,B126)</x:f>
        <x:v>5.69125</x:v>
      </x:c>
      <x:c r="E126" s="7" t="n">
        <x:f>AVERAGEIFS(Recordings!$G$2:$G$778,Recordings!$A$2:$A$778,A126,Recordings!$D$2:$D$778,B126)</x:f>
        <x:v>0.03911147888692912</x:v>
      </x:c>
      <x:c r="F126" s="5" t="str">
        <x:v>CLAN</x:v>
      </x:c>
      <x:c r="G126" s="5" t="n">
        <x:v>4</x:v>
      </x:c>
    </x:row>
    <x:row r="127">
      <x:c r="A127" s="5" t="str">
        <x:v>P6</x:v>
      </x:c>
      <x:c r="B127" s="5" t="str">
        <x:v>mlu_words_sd</x:v>
      </x:c>
      <x:c r="C127" s="6" t="n">
        <x:f>AVERAGEIFS(Recordings!$E$2:$E$778,Recordings!$A$2:$A$778,A127,Recordings!$D$2:$D$778,B127)</x:f>
        <x:v>4.3129879503581305</x:v>
      </x:c>
      <x:c r="D127" s="6" t="n">
        <x:f>AVERAGEIFS(Recordings!$F$2:$F$778,Recordings!$A$2:$A$778,A127,Recordings!$D$2:$D$778,B127)</x:f>
        <x:v>5.07075</x:v>
      </x:c>
      <x:c r="E127" s="7" t="n">
        <x:f>AVERAGEIFS(Recordings!$G$2:$G$778,Recordings!$A$2:$A$778,A127,Recordings!$D$2:$D$778,B127)</x:f>
        <x:v>0.14546297758619137</x:v>
      </x:c>
      <x:c r="F127" s="5" t="str">
        <x:v>CLAN</x:v>
      </x:c>
      <x:c r="G127" s="5" t="n">
        <x:v>4</x:v>
      </x:c>
    </x:row>
    <x:row r="128">
      <x:c r="A128" s="5" t="str">
        <x:v>P7</x:v>
      </x:c>
      <x:c r="B128" s="5" t="str">
        <x:v>basic_ntokens</x:v>
      </x:c>
      <x:c r="C128" s="6" t="n">
        <x:f>AVERAGEIFS(Recordings!$E$2:$E$778,Recordings!$A$2:$A$778,A128,Recordings!$D$2:$D$778,B128)</x:f>
        <x:v>216.33333333333334</x:v>
      </x:c>
      <x:c r="D128" s="6" t="n">
        <x:f>AVERAGEIFS(Recordings!$F$2:$F$778,Recordings!$A$2:$A$778,A128,Recordings!$D$2:$D$778,B128)</x:f>
        <x:v>207.66666666666666</x:v>
      </x:c>
      <x:c r="E128" s="7" t="n">
        <x:f>AVERAGEIFS(Recordings!$G$2:$G$778,Recordings!$A$2:$A$778,A128,Recordings!$D$2:$D$778,B128)</x:f>
        <x:v>0.05004668960547284</x:v>
      </x:c>
      <x:c r="F128" s="5" t="str">
        <x:v>TAALED</x:v>
      </x:c>
      <x:c r="G128" s="5" t="n">
        <x:v>3</x:v>
      </x:c>
    </x:row>
    <x:row r="129">
      <x:c r="A129" s="5" t="str">
        <x:v>P7</x:v>
      </x:c>
      <x:c r="B129" s="5" t="str">
        <x:v>basic_ntypes</x:v>
      </x:c>
      <x:c r="C129" s="6" t="n">
        <x:f>AVERAGEIFS(Recordings!$E$2:$E$778,Recordings!$A$2:$A$778,A129,Recordings!$D$2:$D$778,B129)</x:f>
        <x:v>74.66666666666667</x:v>
      </x:c>
      <x:c r="D129" s="6" t="n">
        <x:f>AVERAGEIFS(Recordings!$F$2:$F$778,Recordings!$A$2:$A$778,A129,Recordings!$D$2:$D$778,B129)</x:f>
        <x:v>75.66666666666667</x:v>
      </x:c>
      <x:c r="E129" s="7" t="n">
        <x:f>AVERAGEIFS(Recordings!$G$2:$G$778,Recordings!$A$2:$A$778,A129,Recordings!$D$2:$D$778,B129)</x:f>
        <x:v>0.043838464700083006</x:v>
      </x:c>
      <x:c r="F129" s="5" t="str">
        <x:v>TAALED</x:v>
      </x:c>
      <x:c r="G129" s="5" t="n">
        <x:v>3</x:v>
      </x:c>
    </x:row>
    <x:row r="130">
      <x:c r="A130" s="5" t="str">
        <x:v>P7</x:v>
      </x:c>
      <x:c r="B130" s="5" t="str">
        <x:v>basic_ncontent_tokens</x:v>
      </x:c>
      <x:c r="C130" s="6" t="n">
        <x:f>AVERAGEIFS(Recordings!$E$2:$E$778,Recordings!$A$2:$A$778,A130,Recordings!$D$2:$D$778,B130)</x:f>
        <x:v>86.66666666666667</x:v>
      </x:c>
      <x:c r="D130" s="6" t="n">
        <x:f>AVERAGEIFS(Recordings!$F$2:$F$778,Recordings!$A$2:$A$778,A130,Recordings!$D$2:$D$778,B130)</x:f>
        <x:v>83.33333333333333</x:v>
      </x:c>
      <x:c r="E130" s="7" t="n">
        <x:f>AVERAGEIFS(Recordings!$G$2:$G$778,Recordings!$A$2:$A$778,A130,Recordings!$D$2:$D$778,B130)</x:f>
        <x:v>0.0454099071523314</x:v>
      </x:c>
      <x:c r="F130" s="5" t="str">
        <x:v>TAALED</x:v>
      </x:c>
      <x:c r="G130" s="5" t="n">
        <x:v>3</x:v>
      </x:c>
    </x:row>
    <x:row r="131">
      <x:c r="A131" s="5" t="str">
        <x:v>P7</x:v>
      </x:c>
      <x:c r="B131" s="5" t="str">
        <x:v>basic_ncontent_types</x:v>
      </x:c>
      <x:c r="C131" s="6" t="n">
        <x:f>AVERAGEIFS(Recordings!$E$2:$E$778,Recordings!$A$2:$A$778,A131,Recordings!$D$2:$D$778,B131)</x:f>
        <x:v>41.333333333333336</x:v>
      </x:c>
      <x:c r="D131" s="6" t="n">
        <x:f>AVERAGEIFS(Recordings!$F$2:$F$778,Recordings!$A$2:$A$778,A131,Recordings!$D$2:$D$778,B131)</x:f>
        <x:v>42.333333333333336</x:v>
      </x:c>
      <x:c r="E131" s="7" t="n">
        <x:f>AVERAGEIFS(Recordings!$G$2:$G$778,Recordings!$A$2:$A$778,A131,Recordings!$D$2:$D$778,B131)</x:f>
        <x:v>0.024250440917107582</x:v>
      </x:c>
      <x:c r="F131" s="5" t="str">
        <x:v>TAALED</x:v>
      </x:c>
      <x:c r="G131" s="5" t="n">
        <x:v>3</x:v>
      </x:c>
    </x:row>
    <x:row r="132">
      <x:c r="A132" s="5" t="str">
        <x:v>P7</x:v>
      </x:c>
      <x:c r="B132" s="5" t="str">
        <x:v>basic_nfunction_tokens</x:v>
      </x:c>
      <x:c r="C132" s="6" t="n">
        <x:f>AVERAGEIFS(Recordings!$E$2:$E$778,Recordings!$A$2:$A$778,A132,Recordings!$D$2:$D$778,B132)</x:f>
        <x:v>129.66666666666666</x:v>
      </x:c>
      <x:c r="D132" s="6" t="n">
        <x:f>AVERAGEIFS(Recordings!$F$2:$F$778,Recordings!$A$2:$A$778,A132,Recordings!$D$2:$D$778,B132)</x:f>
        <x:v>124.33333333333333</x:v>
      </x:c>
      <x:c r="E132" s="7" t="n">
        <x:f>AVERAGEIFS(Recordings!$G$2:$G$778,Recordings!$A$2:$A$778,A132,Recordings!$D$2:$D$778,B132)</x:f>
        <x:v>0.06142069120792525</x:v>
      </x:c>
      <x:c r="F132" s="5" t="str">
        <x:v>TAALED</x:v>
      </x:c>
      <x:c r="G132" s="5" t="n">
        <x:v>3</x:v>
      </x:c>
    </x:row>
    <x:row r="133">
      <x:c r="A133" s="5" t="str">
        <x:v>P7</x:v>
      </x:c>
      <x:c r="B133" s="5" t="str">
        <x:v>basic_nfunction_types</x:v>
      </x:c>
      <x:c r="C133" s="6" t="n">
        <x:f>AVERAGEIFS(Recordings!$E$2:$E$778,Recordings!$A$2:$A$778,A133,Recordings!$D$2:$D$778,B133)</x:f>
        <x:v>33.333333333333336</x:v>
      </x:c>
      <x:c r="D133" s="6" t="n">
        <x:f>AVERAGEIFS(Recordings!$F$2:$F$778,Recordings!$A$2:$A$778,A133,Recordings!$D$2:$D$778,B133)</x:f>
        <x:v>33.333333333333336</x:v>
      </x:c>
      <x:c r="E133" s="7" t="n">
        <x:f>AVERAGEIFS(Recordings!$G$2:$G$778,Recordings!$A$2:$A$778,A133,Recordings!$D$2:$D$778,B133)</x:f>
        <x:v>0.07387601505248564</x:v>
      </x:c>
      <x:c r="F133" s="5" t="str">
        <x:v>TAALED</x:v>
      </x:c>
      <x:c r="G133" s="5" t="n">
        <x:v>3</x:v>
      </x:c>
    </x:row>
    <x:row r="134">
      <x:c r="A134" s="5" t="str">
        <x:v>P7</x:v>
      </x:c>
      <x:c r="B134" s="5" t="str">
        <x:v>lexical_density_tokens</x:v>
      </x:c>
      <x:c r="C134" s="6" t="n">
        <x:f>AVERAGEIFS(Recordings!$E$2:$E$778,Recordings!$A$2:$A$778,A134,Recordings!$D$2:$D$778,B134)</x:f>
        <x:v>0.4241067174401811</x:v>
      </x:c>
      <x:c r="D134" s="6" t="n">
        <x:f>AVERAGEIFS(Recordings!$F$2:$F$778,Recordings!$A$2:$A$778,A134,Recordings!$D$2:$D$778,B134)</x:f>
        <x:v>0.4308771809628209</x:v>
      </x:c>
      <x:c r="E134" s="7" t="n">
        <x:f>AVERAGEIFS(Recordings!$G$2:$G$778,Recordings!$A$2:$A$778,A134,Recordings!$D$2:$D$778,B134)</x:f>
        <x:v>0.01875057630520934</x:v>
      </x:c>
      <x:c r="F134" s="5" t="str">
        <x:v>TAALED</x:v>
      </x:c>
      <x:c r="G134" s="5" t="n">
        <x:v>3</x:v>
      </x:c>
    </x:row>
    <x:row r="135">
      <x:c r="A135" s="5" t="str">
        <x:v>P7</x:v>
      </x:c>
      <x:c r="B135" s="5" t="str">
        <x:v>lexical_density_types</x:v>
      </x:c>
      <x:c r="C135" s="6" t="n">
        <x:f>AVERAGEIFS(Recordings!$E$2:$E$778,Recordings!$A$2:$A$778,A135,Recordings!$D$2:$D$778,B135)</x:f>
        <x:v>0.5596809183765705</x:v>
      </x:c>
      <x:c r="D135" s="6" t="n">
        <x:f>AVERAGEIFS(Recordings!$F$2:$F$778,Recordings!$A$2:$A$778,A135,Recordings!$D$2:$D$778,B135)</x:f>
        <x:v>0.5647010680012429</x:v>
      </x:c>
      <x:c r="E135" s="7" t="n">
        <x:f>AVERAGEIFS(Recordings!$G$2:$G$778,Recordings!$A$2:$A$778,A135,Recordings!$D$2:$D$778,B135)</x:f>
        <x:v>0.024734595839668208</x:v>
      </x:c>
      <x:c r="F135" s="5" t="str">
        <x:v>TAALED</x:v>
      </x:c>
      <x:c r="G135" s="5" t="n">
        <x:v>3</x:v>
      </x:c>
    </x:row>
    <x:row r="136">
      <x:c r="A136" s="5" t="str">
        <x:v>P7</x:v>
      </x:c>
      <x:c r="B136" s="5" t="str">
        <x:v>simple_ttr_aw</x:v>
      </x:c>
      <x:c r="C136" s="6" t="n">
        <x:f>AVERAGEIFS(Recordings!$E$2:$E$778,Recordings!$A$2:$A$778,A136,Recordings!$D$2:$D$778,B136)</x:f>
        <x:v>0.37430930897395814</x:v>
      </x:c>
      <x:c r="D136" s="6" t="n">
        <x:f>AVERAGEIFS(Recordings!$F$2:$F$778,Recordings!$A$2:$A$778,A136,Recordings!$D$2:$D$778,B136)</x:f>
        <x:v>0.397330445682734</x:v>
      </x:c>
      <x:c r="E136" s="7" t="n">
        <x:f>AVERAGEIFS(Recordings!$G$2:$G$778,Recordings!$A$2:$A$778,A136,Recordings!$D$2:$D$778,B136)</x:f>
        <x:v>0.05755707241262903</x:v>
      </x:c>
      <x:c r="F136" s="5" t="str">
        <x:v>TAALED</x:v>
      </x:c>
      <x:c r="G136" s="5" t="n">
        <x:v>3</x:v>
      </x:c>
    </x:row>
    <x:row r="137">
      <x:c r="A137" s="5" t="str">
        <x:v>P7</x:v>
      </x:c>
      <x:c r="B137" s="5" t="str">
        <x:v>root_ttr_aw</x:v>
      </x:c>
      <x:c r="C137" s="6" t="n">
        <x:f>AVERAGEIFS(Recordings!$E$2:$E$778,Recordings!$A$2:$A$778,A137,Recordings!$D$2:$D$778,B137)</x:f>
        <x:v>5.147871266458304</x:v>
      </x:c>
      <x:c r="D137" s="6" t="n">
        <x:f>AVERAGEIFS(Recordings!$F$2:$F$778,Recordings!$A$2:$A$778,A137,Recordings!$D$2:$D$778,B137)</x:f>
        <x:v>5.3352788448570365</x:v>
      </x:c>
      <x:c r="E137" s="7" t="n">
        <x:f>AVERAGEIFS(Recordings!$G$2:$G$778,Recordings!$A$2:$A$778,A137,Recordings!$D$2:$D$778,B137)</x:f>
        <x:v>0.03711026267127301</x:v>
      </x:c>
      <x:c r="F137" s="5" t="str">
        <x:v>TAALED</x:v>
      </x:c>
      <x:c r="G137" s="5" t="n">
        <x:v>3</x:v>
      </x:c>
    </x:row>
    <x:row r="138">
      <x:c r="A138" s="5" t="str">
        <x:v>P7</x:v>
      </x:c>
      <x:c r="B138" s="5" t="str">
        <x:v>log_ttr_aw</x:v>
      </x:c>
      <x:c r="C138" s="6" t="n">
        <x:f>AVERAGEIFS(Recordings!$E$2:$E$778,Recordings!$A$2:$A$778,A138,Recordings!$D$2:$D$778,B138)</x:f>
        <x:v>0.8104995846261426</x:v>
      </x:c>
      <x:c r="D138" s="6" t="n">
        <x:f>AVERAGEIFS(Recordings!$F$2:$F$778,Recordings!$A$2:$A$778,A138,Recordings!$D$2:$D$778,B138)</x:f>
        <x:v>0.8206139211019888</x:v>
      </x:c>
      <x:c r="E138" s="7" t="n">
        <x:f>AVERAGEIFS(Recordings!$G$2:$G$778,Recordings!$A$2:$A$778,A138,Recordings!$D$2:$D$778,B138)</x:f>
        <x:v>0.012340822726796834</x:v>
      </x:c>
      <x:c r="F138" s="5" t="str">
        <x:v>TAALED</x:v>
      </x:c>
      <x:c r="G138" s="5" t="n">
        <x:v>3</x:v>
      </x:c>
    </x:row>
    <x:row r="139">
      <x:c r="A139" s="5" t="str">
        <x:v>P7</x:v>
      </x:c>
      <x:c r="B139" s="5" t="str">
        <x:v>maas_ttr_aw</x:v>
      </x:c>
      <x:c r="C139" s="6" t="n">
        <x:f>AVERAGEIFS(Recordings!$E$2:$E$778,Recordings!$A$2:$A$778,A139,Recordings!$D$2:$D$778,B139)</x:f>
        <x:v>0.08316888466721219</x:v>
      </x:c>
      <x:c r="D139" s="6" t="n">
        <x:f>AVERAGEIFS(Recordings!$F$2:$F$778,Recordings!$A$2:$A$778,A139,Recordings!$D$2:$D$778,B139)</x:f>
        <x:v>0.07921115179952909</x:v>
      </x:c>
      <x:c r="E139" s="7" t="n">
        <x:f>AVERAGEIFS(Recordings!$G$2:$G$778,Recordings!$A$2:$A$778,A139,Recordings!$D$2:$D$778,B139)</x:f>
        <x:v>0.049078082687516206</x:v>
      </x:c>
      <x:c r="F139" s="5" t="str">
        <x:v>TAALED</x:v>
      </x:c>
      <x:c r="G139" s="5" t="n">
        <x:v>3</x:v>
      </x:c>
    </x:row>
    <x:row r="140">
      <x:c r="A140" s="5" t="str">
        <x:v>P7</x:v>
      </x:c>
      <x:c r="B140" s="5" t="str">
        <x:v>mattr50_aw</x:v>
      </x:c>
      <x:c r="C140" s="6" t="n">
        <x:f>AVERAGEIFS(Recordings!$E$2:$E$778,Recordings!$A$2:$A$778,A140,Recordings!$D$2:$D$778,B140)</x:f>
        <x:v>0.5749942602204169</x:v>
      </x:c>
      <x:c r="D140" s="6" t="n">
        <x:f>AVERAGEIFS(Recordings!$F$2:$F$778,Recordings!$A$2:$A$778,A140,Recordings!$D$2:$D$778,B140)</x:f>
        <x:v>0.5956707827319861</x:v>
      </x:c>
      <x:c r="E140" s="7" t="n">
        <x:f>AVERAGEIFS(Recordings!$G$2:$G$778,Recordings!$A$2:$A$778,A140,Recordings!$D$2:$D$778,B140)</x:f>
        <x:v>0.03618322871172002</x:v>
      </x:c>
      <x:c r="F140" s="5" t="str">
        <x:v>TAALED</x:v>
      </x:c>
      <x:c r="G140" s="5" t="n">
        <x:v>3</x:v>
      </x:c>
    </x:row>
    <x:row r="141">
      <x:c r="A141" s="5" t="str">
        <x:v>P7</x:v>
      </x:c>
      <x:c r="B141" s="5" t="str">
        <x:v>msttr50_aw</x:v>
      </x:c>
      <x:c r="C141" s="6" t="n">
        <x:f>AVERAGEIFS(Recordings!$E$2:$E$778,Recordings!$A$2:$A$778,A141,Recordings!$D$2:$D$778,B141)</x:f>
        <x:v>0.580952380952381</x:v>
      </x:c>
      <x:c r="D141" s="6" t="n">
        <x:f>AVERAGEIFS(Recordings!$F$2:$F$778,Recordings!$A$2:$A$778,A141,Recordings!$D$2:$D$778,B141)</x:f>
        <x:v>0.5857142857142857</x:v>
      </x:c>
      <x:c r="E141" s="7" t="n">
        <x:f>AVERAGEIFS(Recordings!$G$2:$G$778,Recordings!$A$2:$A$778,A141,Recordings!$D$2:$D$778,B141)</x:f>
        <x:v>0.07791309371769145</x:v>
      </x:c>
      <x:c r="F141" s="5" t="str">
        <x:v>TAALED</x:v>
      </x:c>
      <x:c r="G141" s="5" t="n">
        <x:v>3</x:v>
      </x:c>
    </x:row>
    <x:row r="142">
      <x:c r="A142" s="5" t="str">
        <x:v>P7</x:v>
      </x:c>
      <x:c r="B142" s="5" t="str">
        <x:v>hdd42_aw</x:v>
      </x:c>
      <x:c r="C142" s="6" t="n">
        <x:f>AVERAGEIFS(Recordings!$E$2:$E$778,Recordings!$A$2:$A$778,A142,Recordings!$D$2:$D$778,B142)</x:f>
        <x:v>0.6560306760900391</x:v>
      </x:c>
      <x:c r="D142" s="6" t="n">
        <x:f>AVERAGEIFS(Recordings!$F$2:$F$778,Recordings!$A$2:$A$778,A142,Recordings!$D$2:$D$778,B142)</x:f>
        <x:v>0.6647744079970844</x:v>
      </x:c>
      <x:c r="E142" s="7" t="n">
        <x:f>AVERAGEIFS(Recordings!$G$2:$G$778,Recordings!$A$2:$A$778,A142,Recordings!$D$2:$D$778,B142)</x:f>
        <x:v>0.014658300040605818</x:v>
      </x:c>
      <x:c r="F142" s="5" t="str">
        <x:v>TAALED</x:v>
      </x:c>
      <x:c r="G142" s="5" t="n">
        <x:v>3</x:v>
      </x:c>
    </x:row>
    <x:row r="143">
      <x:c r="A143" s="5" t="str">
        <x:v>P7</x:v>
      </x:c>
      <x:c r="B143" s="5" t="str">
        <x:v>mtld_original_aw</x:v>
      </x:c>
      <x:c r="C143" s="6" t="n">
        <x:f>AVERAGEIFS(Recordings!$E$2:$E$778,Recordings!$A$2:$A$778,A143,Recordings!$D$2:$D$778,B143)</x:f>
        <x:v>27.703315290681356</x:v>
      </x:c>
      <x:c r="D143" s="6" t="n">
        <x:f>AVERAGEIFS(Recordings!$F$2:$F$778,Recordings!$A$2:$A$778,A143,Recordings!$D$2:$D$778,B143)</x:f>
        <x:v>28.93863546193928</x:v>
      </x:c>
      <x:c r="E143" s="7" t="n">
        <x:f>AVERAGEIFS(Recordings!$G$2:$G$778,Recordings!$A$2:$A$778,A143,Recordings!$D$2:$D$778,B143)</x:f>
        <x:v>0.0683665053448522</x:v>
      </x:c>
      <x:c r="F143" s="5" t="str">
        <x:v>TAALED</x:v>
      </x:c>
      <x:c r="G143" s="5" t="n">
        <x:v>3</x:v>
      </x:c>
    </x:row>
    <x:row r="144">
      <x:c r="A144" s="5" t="str">
        <x:v>P7</x:v>
      </x:c>
      <x:c r="B144" s="5" t="str">
        <x:v>mtld_mean_factor_length_aw</x:v>
      </x:c>
      <x:c r="C144" s="6" t="n">
        <x:f>AVERAGEIFS(Recordings!$E$2:$E$778,Recordings!$A$2:$A$778,A144,Recordings!$D$2:$D$778,B144)</x:f>
        <x:v>27.201622303622305</x:v>
      </x:c>
      <x:c r="D144" s="6" t="n">
        <x:f>AVERAGEIFS(Recordings!$F$2:$F$778,Recordings!$A$2:$A$778,A144,Recordings!$D$2:$D$778,B144)</x:f>
        <x:v>29.14053240740741</x:v>
      </x:c>
      <x:c r="E144" s="7" t="n">
        <x:f>AVERAGEIFS(Recordings!$G$2:$G$778,Recordings!$A$2:$A$778,A144,Recordings!$D$2:$D$778,B144)</x:f>
        <x:v>0.07625870735244823</x:v>
      </x:c>
      <x:c r="F144" s="5" t="str">
        <x:v>TAALED</x:v>
      </x:c>
      <x:c r="G144" s="5" t="n">
        <x:v>3</x:v>
      </x:c>
    </x:row>
    <x:row r="145">
      <x:c r="A145" s="5" t="str">
        <x:v>P7</x:v>
      </x:c>
      <x:c r="B145" s="5" t="str">
        <x:v>total_utterances</x:v>
      </x:c>
      <x:c r="C145" s="6" t="n">
        <x:f>AVERAGEIFS(Recordings!$E$2:$E$778,Recordings!$A$2:$A$778,A145,Recordings!$D$2:$D$778,B145)</x:f>
        <x:v>66.66666666666667</x:v>
      </x:c>
      <x:c r="D145" s="6" t="n">
        <x:f>AVERAGEIFS(Recordings!$F$2:$F$778,Recordings!$A$2:$A$778,A145,Recordings!$D$2:$D$778,B145)</x:f>
        <x:v>64.33333333333333</x:v>
      </x:c>
      <x:c r="E145" s="7" t="n">
        <x:f>AVERAGEIFS(Recordings!$G$2:$G$778,Recordings!$A$2:$A$778,A145,Recordings!$D$2:$D$778,B145)</x:f>
        <x:v>0.04172622470494811</x:v>
      </x:c>
      <x:c r="F145" s="5" t="str">
        <x:v>CLAN</x:v>
      </x:c>
      <x:c r="G145" s="5" t="n">
        <x:v>3</x:v>
      </x:c>
    </x:row>
    <x:row r="146">
      <x:c r="A146" s="5" t="str">
        <x:v>P7</x:v>
      </x:c>
      <x:c r="B146" s="5" t="str">
        <x:v>total_words</x:v>
      </x:c>
      <x:c r="C146" s="6" t="n">
        <x:f>AVERAGEIFS(Recordings!$E$2:$E$778,Recordings!$A$2:$A$778,A146,Recordings!$D$2:$D$778,B146)</x:f>
        <x:v>194</x:v>
      </x:c>
      <x:c r="D146" s="6" t="n">
        <x:f>AVERAGEIFS(Recordings!$F$2:$F$778,Recordings!$A$2:$A$778,A146,Recordings!$D$2:$D$778,B146)</x:f>
        <x:v>188.66666666666666</x:v>
      </x:c>
      <x:c r="E146" s="7" t="n">
        <x:f>AVERAGEIFS(Recordings!$G$2:$G$778,Recordings!$A$2:$A$778,A146,Recordings!$D$2:$D$778,B146)</x:f>
        <x:v>0.046022521494331586</x:v>
      </x:c>
      <x:c r="F146" s="5" t="str">
        <x:v>CLAN</x:v>
      </x:c>
      <x:c r="G146" s="5" t="n">
        <x:v>3</x:v>
      </x:c>
    </x:row>
    <x:row r="147">
      <x:c r="A147" s="5" t="str">
        <x:v>P7</x:v>
      </x:c>
      <x:c r="B147" s="5" t="str">
        <x:v>mlu_words</x:v>
      </x:c>
      <x:c r="C147" s="6" t="n">
        <x:f>AVERAGEIFS(Recordings!$E$2:$E$778,Recordings!$A$2:$A$778,A147,Recordings!$D$2:$D$778,B147)</x:f>
        <x:v>2.913134484563056</x:v>
      </x:c>
      <x:c r="D147" s="6" t="n">
        <x:f>AVERAGEIFS(Recordings!$F$2:$F$778,Recordings!$A$2:$A$778,A147,Recordings!$D$2:$D$778,B147)</x:f>
        <x:v>2.889</x:v>
      </x:c>
      <x:c r="E147" s="7" t="n">
        <x:f>AVERAGEIFS(Recordings!$G$2:$G$778,Recordings!$A$2:$A$778,A147,Recordings!$D$2:$D$778,B147)</x:f>
        <x:v>0.03524169500124144</x:v>
      </x:c>
      <x:c r="F147" s="5" t="str">
        <x:v>CLAN</x:v>
      </x:c>
      <x:c r="G147" s="5" t="n">
        <x:v>3</x:v>
      </x:c>
    </x:row>
    <x:row r="148">
      <x:c r="A148" s="5" t="str">
        <x:v>P7</x:v>
      </x:c>
      <x:c r="B148" s="5" t="str">
        <x:v>mlu_words_sd</x:v>
      </x:c>
      <x:c r="C148" s="6" t="n">
        <x:f>AVERAGEIFS(Recordings!$E$2:$E$778,Recordings!$A$2:$A$778,A148,Recordings!$D$2:$D$778,B148)</x:f>
        <x:v>1.988313668262502</x:v>
      </x:c>
      <x:c r="D148" s="6" t="n">
        <x:f>AVERAGEIFS(Recordings!$F$2:$F$778,Recordings!$A$2:$A$778,A148,Recordings!$D$2:$D$778,B148)</x:f>
        <x:v>2.034333333333333</x:v>
      </x:c>
      <x:c r="E148" s="7" t="n">
        <x:f>AVERAGEIFS(Recordings!$G$2:$G$778,Recordings!$A$2:$A$778,A148,Recordings!$D$2:$D$778,B148)</x:f>
        <x:v>0.07416216524493036</x:v>
      </x:c>
      <x:c r="F148" s="5" t="str">
        <x:v>CLAN</x:v>
      </x:c>
      <x:c r="G148" s="5" t="n">
        <x:v>3</x:v>
      </x:c>
    </x:row>
    <x:row r="149">
      <x:c r="A149" s="5" t="str">
        <x:v>P8</x:v>
      </x:c>
      <x:c r="B149" s="5" t="str">
        <x:v>basic_ntokens</x:v>
      </x:c>
      <x:c r="C149" s="6" t="n">
        <x:f>AVERAGEIFS(Recordings!$E$2:$E$778,Recordings!$A$2:$A$778,A149,Recordings!$D$2:$D$778,B149)</x:f>
        <x:v>1001.5</x:v>
      </x:c>
      <x:c r="D149" s="6" t="n">
        <x:f>AVERAGEIFS(Recordings!$F$2:$F$778,Recordings!$A$2:$A$778,A149,Recordings!$D$2:$D$778,B149)</x:f>
        <x:v>998.75</x:v>
      </x:c>
      <x:c r="E149" s="7" t="n">
        <x:f>AVERAGEIFS(Recordings!$G$2:$G$778,Recordings!$A$2:$A$778,A149,Recordings!$D$2:$D$778,B149)</x:f>
        <x:v>0.0028958446234426897</x:v>
      </x:c>
      <x:c r="F149" s="5" t="str">
        <x:v>TAALED</x:v>
      </x:c>
      <x:c r="G149" s="5" t="n">
        <x:v>4</x:v>
      </x:c>
    </x:row>
    <x:row r="150">
      <x:c r="A150" s="5" t="str">
        <x:v>P8</x:v>
      </x:c>
      <x:c r="B150" s="5" t="str">
        <x:v>basic_ntypes</x:v>
      </x:c>
      <x:c r="C150" s="6" t="n">
        <x:f>AVERAGEIFS(Recordings!$E$2:$E$778,Recordings!$A$2:$A$778,A150,Recordings!$D$2:$D$778,B150)</x:f>
        <x:v>315.25</x:v>
      </x:c>
      <x:c r="D150" s="6" t="n">
        <x:f>AVERAGEIFS(Recordings!$F$2:$F$778,Recordings!$A$2:$A$778,A150,Recordings!$D$2:$D$778,B150)</x:f>
        <x:v>318.75</x:v>
      </x:c>
      <x:c r="E150" s="7" t="n">
        <x:f>AVERAGEIFS(Recordings!$G$2:$G$778,Recordings!$A$2:$A$778,A150,Recordings!$D$2:$D$778,B150)</x:f>
        <x:v>0.010477262807031467</x:v>
      </x:c>
      <x:c r="F150" s="5" t="str">
        <x:v>TAALED</x:v>
      </x:c>
      <x:c r="G150" s="5" t="n">
        <x:v>4</x:v>
      </x:c>
    </x:row>
    <x:row r="151">
      <x:c r="A151" s="5" t="str">
        <x:v>P8</x:v>
      </x:c>
      <x:c r="B151" s="5" t="str">
        <x:v>basic_ncontent_tokens</x:v>
      </x:c>
      <x:c r="C151" s="6" t="n">
        <x:f>AVERAGEIFS(Recordings!$E$2:$E$778,Recordings!$A$2:$A$778,A151,Recordings!$D$2:$D$778,B151)</x:f>
        <x:v>397.25</x:v>
      </x:c>
      <x:c r="D151" s="6" t="n">
        <x:f>AVERAGEIFS(Recordings!$F$2:$F$778,Recordings!$A$2:$A$778,A151,Recordings!$D$2:$D$778,B151)</x:f>
        <x:v>397.75</x:v>
      </x:c>
      <x:c r="E151" s="7" t="n">
        <x:f>AVERAGEIFS(Recordings!$G$2:$G$778,Recordings!$A$2:$A$778,A151,Recordings!$D$2:$D$778,B151)</x:f>
        <x:v>0.007709595545820419</x:v>
      </x:c>
      <x:c r="F151" s="5" t="str">
        <x:v>TAALED</x:v>
      </x:c>
      <x:c r="G151" s="5" t="n">
        <x:v>4</x:v>
      </x:c>
    </x:row>
    <x:row r="152">
      <x:c r="A152" s="5" t="str">
        <x:v>P8</x:v>
      </x:c>
      <x:c r="B152" s="5" t="str">
        <x:v>basic_ncontent_types</x:v>
      </x:c>
      <x:c r="C152" s="6" t="n">
        <x:f>AVERAGEIFS(Recordings!$E$2:$E$778,Recordings!$A$2:$A$778,A152,Recordings!$D$2:$D$778,B152)</x:f>
        <x:v>207.75</x:v>
      </x:c>
      <x:c r="D152" s="6" t="n">
        <x:f>AVERAGEIFS(Recordings!$F$2:$F$778,Recordings!$A$2:$A$778,A152,Recordings!$D$2:$D$778,B152)</x:f>
        <x:v>210.25</x:v>
      </x:c>
      <x:c r="E152" s="7" t="n">
        <x:f>AVERAGEIFS(Recordings!$G$2:$G$778,Recordings!$A$2:$A$778,A152,Recordings!$D$2:$D$778,B152)</x:f>
        <x:v>0.01127901417007403</x:v>
      </x:c>
      <x:c r="F152" s="5" t="str">
        <x:v>TAALED</x:v>
      </x:c>
      <x:c r="G152" s="5" t="n">
        <x:v>4</x:v>
      </x:c>
    </x:row>
    <x:row r="153">
      <x:c r="A153" s="5" t="str">
        <x:v>P8</x:v>
      </x:c>
      <x:c r="B153" s="5" t="str">
        <x:v>basic_nfunction_tokens</x:v>
      </x:c>
      <x:c r="C153" s="6" t="n">
        <x:f>AVERAGEIFS(Recordings!$E$2:$E$778,Recordings!$A$2:$A$778,A153,Recordings!$D$2:$D$778,B153)</x:f>
        <x:v>604.25</x:v>
      </x:c>
      <x:c r="D153" s="6" t="n">
        <x:f>AVERAGEIFS(Recordings!$F$2:$F$778,Recordings!$A$2:$A$778,A153,Recordings!$D$2:$D$778,B153)</x:f>
        <x:v>601</x:v>
      </x:c>
      <x:c r="E153" s="7" t="n">
        <x:f>AVERAGEIFS(Recordings!$G$2:$G$778,Recordings!$A$2:$A$778,A153,Recordings!$D$2:$D$778,B153)</x:f>
        <x:v>0.0055839785413118355</x:v>
      </x:c>
      <x:c r="F153" s="5" t="str">
        <x:v>TAALED</x:v>
      </x:c>
      <x:c r="G153" s="5" t="n">
        <x:v>4</x:v>
      </x:c>
    </x:row>
    <x:row r="154">
      <x:c r="A154" s="5" t="str">
        <x:v>P8</x:v>
      </x:c>
      <x:c r="B154" s="5" t="str">
        <x:v>basic_nfunction_types</x:v>
      </x:c>
      <x:c r="C154" s="6" t="n">
        <x:f>AVERAGEIFS(Recordings!$E$2:$E$778,Recordings!$A$2:$A$778,A154,Recordings!$D$2:$D$778,B154)</x:f>
        <x:v>107.5</x:v>
      </x:c>
      <x:c r="D154" s="6" t="n">
        <x:f>AVERAGEIFS(Recordings!$F$2:$F$778,Recordings!$A$2:$A$778,A154,Recordings!$D$2:$D$778,B154)</x:f>
        <x:v>108.5</x:v>
      </x:c>
      <x:c r="E154" s="7" t="n">
        <x:f>AVERAGEIFS(Recordings!$G$2:$G$778,Recordings!$A$2:$A$778,A154,Recordings!$D$2:$D$778,B154)</x:f>
        <x:v>0.00880512860122036</x:v>
      </x:c>
      <x:c r="F154" s="5" t="str">
        <x:v>TAALED</x:v>
      </x:c>
      <x:c r="G154" s="5" t="n">
        <x:v>4</x:v>
      </x:c>
    </x:row>
    <x:row r="155">
      <x:c r="A155" s="5" t="str">
        <x:v>P8</x:v>
      </x:c>
      <x:c r="B155" s="5" t="str">
        <x:v>lexical_density_tokens</x:v>
      </x:c>
      <x:c r="C155" s="6" t="n">
        <x:f>AVERAGEIFS(Recordings!$E$2:$E$778,Recordings!$A$2:$A$778,A155,Recordings!$D$2:$D$778,B155)</x:f>
        <x:v>0.3955409860605135</x:v>
      </x:c>
      <x:c r="D155" s="6" t="n">
        <x:f>AVERAGEIFS(Recordings!$F$2:$F$778,Recordings!$A$2:$A$778,A155,Recordings!$D$2:$D$778,B155)</x:f>
        <x:v>0.3971961163705376</x:v>
      </x:c>
      <x:c r="E155" s="7" t="n">
        <x:f>AVERAGEIFS(Recordings!$G$2:$G$778,Recordings!$A$2:$A$778,A155,Recordings!$D$2:$D$778,B155)</x:f>
        <x:v>0.005890141083730997</x:v>
      </x:c>
      <x:c r="F155" s="5" t="str">
        <x:v>TAALED</x:v>
      </x:c>
      <x:c r="G155" s="5" t="n">
        <x:v>4</x:v>
      </x:c>
    </x:row>
    <x:row r="156">
      <x:c r="A156" s="5" t="str">
        <x:v>P8</x:v>
      </x:c>
      <x:c r="B156" s="5" t="str">
        <x:v>lexical_density_types</x:v>
      </x:c>
      <x:c r="C156" s="6" t="n">
        <x:f>AVERAGEIFS(Recordings!$E$2:$E$778,Recordings!$A$2:$A$778,A156,Recordings!$D$2:$D$778,B156)</x:f>
        <x:v>0.6585395789170465</x:v>
      </x:c>
      <x:c r="D156" s="6" t="n">
        <x:f>AVERAGEIFS(Recordings!$F$2:$F$778,Recordings!$A$2:$A$778,A156,Recordings!$D$2:$D$778,B156)</x:f>
        <x:v>0.659086835084356</x:v>
      </x:c>
      <x:c r="E156" s="7" t="n">
        <x:f>AVERAGEIFS(Recordings!$G$2:$G$778,Recordings!$A$2:$A$778,A156,Recordings!$D$2:$D$778,B156)</x:f>
        <x:v>0.001393495704763585</x:v>
      </x:c>
      <x:c r="F156" s="5" t="str">
        <x:v>TAALED</x:v>
      </x:c>
      <x:c r="G156" s="5" t="n">
        <x:v>4</x:v>
      </x:c>
    </x:row>
    <x:row r="157">
      <x:c r="A157" s="5" t="str">
        <x:v>P8</x:v>
      </x:c>
      <x:c r="B157" s="5" t="str">
        <x:v>simple_ttr_aw</x:v>
      </x:c>
      <x:c r="C157" s="6" t="n">
        <x:f>AVERAGEIFS(Recordings!$E$2:$E$778,Recordings!$A$2:$A$778,A157,Recordings!$D$2:$D$778,B157)</x:f>
        <x:v>0.3153243558520198</x:v>
      </x:c>
      <x:c r="D157" s="6" t="n">
        <x:f>AVERAGEIFS(Recordings!$F$2:$F$778,Recordings!$A$2:$A$778,A157,Recordings!$D$2:$D$778,B157)</x:f>
        <x:v>0.31962364748343347</x:v>
      </x:c>
      <x:c r="E157" s="7" t="n">
        <x:f>AVERAGEIFS(Recordings!$G$2:$G$778,Recordings!$A$2:$A$778,A157,Recordings!$D$2:$D$778,B157)</x:f>
        <x:v>0.013338320608549245</x:v>
      </x:c>
      <x:c r="F157" s="5" t="str">
        <x:v>TAALED</x:v>
      </x:c>
      <x:c r="G157" s="5" t="n">
        <x:v>4</x:v>
      </x:c>
    </x:row>
    <x:row r="158">
      <x:c r="A158" s="5" t="str">
        <x:v>P8</x:v>
      </x:c>
      <x:c r="B158" s="5" t="str">
        <x:v>root_ttr_aw</x:v>
      </x:c>
      <x:c r="C158" s="6" t="n">
        <x:f>AVERAGEIFS(Recordings!$E$2:$E$778,Recordings!$A$2:$A$778,A158,Recordings!$D$2:$D$778,B158)</x:f>
        <x:v>9.961961265205723</x:v>
      </x:c>
      <x:c r="D158" s="6" t="n">
        <x:f>AVERAGEIFS(Recordings!$F$2:$F$778,Recordings!$A$2:$A$778,A158,Recordings!$D$2:$D$778,B158)</x:f>
        <x:v>10.08480963589469</x:v>
      </x:c>
      <x:c r="E158" s="7" t="n">
        <x:f>AVERAGEIFS(Recordings!$G$2:$G$778,Recordings!$A$2:$A$778,A158,Recordings!$D$2:$D$778,B158)</x:f>
        <x:v>0.011909821641575419</x:v>
      </x:c>
      <x:c r="F158" s="5" t="str">
        <x:v>TAALED</x:v>
      </x:c>
      <x:c r="G158" s="5" t="n">
        <x:v>4</x:v>
      </x:c>
    </x:row>
    <x:row r="159">
      <x:c r="A159" s="5" t="str">
        <x:v>P8</x:v>
      </x:c>
      <x:c r="B159" s="5" t="str">
        <x:v>log_ttr_aw</x:v>
      </x:c>
      <x:c r="C159" s="6" t="n">
        <x:f>AVERAGEIFS(Recordings!$E$2:$E$778,Recordings!$A$2:$A$778,A159,Recordings!$D$2:$D$778,B159)</x:f>
        <x:v>0.8327439961035512</x:v>
      </x:c>
      <x:c r="D159" s="6" t="n">
        <x:f>AVERAGEIFS(Recordings!$F$2:$F$778,Recordings!$A$2:$A$778,A159,Recordings!$D$2:$D$778,B159)</x:f>
        <x:v>0.8346167761205707</x:v>
      </x:c>
      <x:c r="E159" s="7" t="n">
        <x:f>AVERAGEIFS(Recordings!$G$2:$G$778,Recordings!$A$2:$A$778,A159,Recordings!$D$2:$D$778,B159)</x:f>
        <x:v>0.0022388694163396053</x:v>
      </x:c>
      <x:c r="F159" s="5" t="str">
        <x:v>TAALED</x:v>
      </x:c>
      <x:c r="G159" s="5" t="n">
        <x:v>4</x:v>
      </x:c>
    </x:row>
    <x:row r="160">
      <x:c r="A160" s="5" t="str">
        <x:v>P8</x:v>
      </x:c>
      <x:c r="B160" s="5" t="str">
        <x:v>maas_ttr_aw</x:v>
      </x:c>
      <x:c r="C160" s="6" t="n">
        <x:f>AVERAGEIFS(Recordings!$E$2:$E$778,Recordings!$A$2:$A$778,A160,Recordings!$D$2:$D$778,B160)</x:f>
        <x:v>0.05577067745375326</x:v>
      </x:c>
      <x:c r="D160" s="6" t="n">
        <x:f>AVERAGEIFS(Recordings!$F$2:$F$778,Recordings!$A$2:$A$778,A160,Recordings!$D$2:$D$778,B160)</x:f>
        <x:v>0.05517159088625109</x:v>
      </x:c>
      <x:c r="E160" s="7" t="n">
        <x:f>AVERAGEIFS(Recordings!$G$2:$G$778,Recordings!$A$2:$A$778,A160,Recordings!$D$2:$D$778,B160)</x:f>
        <x:v>0.011038204789238813</x:v>
      </x:c>
      <x:c r="F160" s="5" t="str">
        <x:v>TAALED</x:v>
      </x:c>
      <x:c r="G160" s="5" t="n">
        <x:v>4</x:v>
      </x:c>
    </x:row>
    <x:row r="161">
      <x:c r="A161" s="5" t="str">
        <x:v>P8</x:v>
      </x:c>
      <x:c r="B161" s="5" t="str">
        <x:v>mattr50_aw</x:v>
      </x:c>
      <x:c r="C161" s="6" t="n">
        <x:f>AVERAGEIFS(Recordings!$E$2:$E$778,Recordings!$A$2:$A$778,A161,Recordings!$D$2:$D$778,B161)</x:f>
        <x:v>0.7281070336433244</x:v>
      </x:c>
      <x:c r="D161" s="6" t="n">
        <x:f>AVERAGEIFS(Recordings!$F$2:$F$778,Recordings!$A$2:$A$778,A161,Recordings!$D$2:$D$778,B161)</x:f>
        <x:v>0.7280147972773968</x:v>
      </x:c>
      <x:c r="E161" s="7" t="n">
        <x:f>AVERAGEIFS(Recordings!$G$2:$G$778,Recordings!$A$2:$A$778,A161,Recordings!$D$2:$D$778,B161)</x:f>
        <x:v>0.002282346818147149</x:v>
      </x:c>
      <x:c r="F161" s="5" t="str">
        <x:v>TAALED</x:v>
      </x:c>
      <x:c r="G161" s="5" t="n">
        <x:v>4</x:v>
      </x:c>
    </x:row>
    <x:row r="162">
      <x:c r="A162" s="5" t="str">
        <x:v>P8</x:v>
      </x:c>
      <x:c r="B162" s="5" t="str">
        <x:v>msttr50_aw</x:v>
      </x:c>
      <x:c r="C162" s="6" t="n">
        <x:f>AVERAGEIFS(Recordings!$E$2:$E$778,Recordings!$A$2:$A$778,A162,Recordings!$D$2:$D$778,B162)</x:f>
        <x:v>0.7224545454545453</x:v>
      </x:c>
      <x:c r="D162" s="6" t="n">
        <x:f>AVERAGEIFS(Recordings!$F$2:$F$778,Recordings!$A$2:$A$778,A162,Recordings!$D$2:$D$778,B162)</x:f>
        <x:v>0.7225732323232323</x:v>
      </x:c>
      <x:c r="E162" s="7" t="n">
        <x:f>AVERAGEIFS(Recordings!$G$2:$G$778,Recordings!$A$2:$A$778,A162,Recordings!$D$2:$D$778,B162)</x:f>
        <x:v>0.0042311780766754094</x:v>
      </x:c>
      <x:c r="F162" s="5" t="str">
        <x:v>TAALED</x:v>
      </x:c>
      <x:c r="G162" s="5" t="n">
        <x:v>4</x:v>
      </x:c>
    </x:row>
    <x:row r="163">
      <x:c r="A163" s="5" t="str">
        <x:v>P8</x:v>
      </x:c>
      <x:c r="B163" s="5" t="str">
        <x:v>hdd42_aw</x:v>
      </x:c>
      <x:c r="C163" s="6" t="n">
        <x:f>AVERAGEIFS(Recordings!$E$2:$E$778,Recordings!$A$2:$A$778,A163,Recordings!$D$2:$D$778,B163)</x:f>
        <x:v>0.8050979530780975</x:v>
      </x:c>
      <x:c r="D163" s="6" t="n">
        <x:f>AVERAGEIFS(Recordings!$F$2:$F$778,Recordings!$A$2:$A$778,A163,Recordings!$D$2:$D$778,B163)</x:f>
        <x:v>0.8060415673955741</x:v>
      </x:c>
      <x:c r="E163" s="7" t="n">
        <x:f>AVERAGEIFS(Recordings!$G$2:$G$778,Recordings!$A$2:$A$778,A163,Recordings!$D$2:$D$778,B163)</x:f>
        <x:v>0.001188703962429945</x:v>
      </x:c>
      <x:c r="F163" s="5" t="str">
        <x:v>TAALED</x:v>
      </x:c>
      <x:c r="G163" s="5" t="n">
        <x:v>4</x:v>
      </x:c>
    </x:row>
    <x:row r="164">
      <x:c r="A164" s="5" t="str">
        <x:v>P8</x:v>
      </x:c>
      <x:c r="B164" s="5" t="str">
        <x:v>mtld_original_aw</x:v>
      </x:c>
      <x:c r="C164" s="6" t="n">
        <x:f>AVERAGEIFS(Recordings!$E$2:$E$778,Recordings!$A$2:$A$778,A164,Recordings!$D$2:$D$778,B164)</x:f>
        <x:v>49.74932713524744</x:v>
      </x:c>
      <x:c r="D164" s="6" t="n">
        <x:f>AVERAGEIFS(Recordings!$F$2:$F$778,Recordings!$A$2:$A$778,A164,Recordings!$D$2:$D$778,B164)</x:f>
        <x:v>49.622589915386754</x:v>
      </x:c>
      <x:c r="E164" s="7" t="n">
        <x:f>AVERAGEIFS(Recordings!$G$2:$G$778,Recordings!$A$2:$A$778,A164,Recordings!$D$2:$D$778,B164)</x:f>
        <x:v>0.010407436057405538</x:v>
      </x:c>
      <x:c r="F164" s="5" t="str">
        <x:v>TAALED</x:v>
      </x:c>
      <x:c r="G164" s="5" t="n">
        <x:v>4</x:v>
      </x:c>
    </x:row>
    <x:row r="165">
      <x:c r="A165" s="5" t="str">
        <x:v>P8</x:v>
      </x:c>
      <x:c r="B165" s="5" t="str">
        <x:v>mtld_mean_factor_length_aw</x:v>
      </x:c>
      <x:c r="C165" s="6" t="n">
        <x:f>AVERAGEIFS(Recordings!$E$2:$E$778,Recordings!$A$2:$A$778,A165,Recordings!$D$2:$D$778,B165)</x:f>
        <x:v>49.352023069974294</x:v>
      </x:c>
      <x:c r="D165" s="6" t="n">
        <x:f>AVERAGEIFS(Recordings!$F$2:$F$778,Recordings!$A$2:$A$778,A165,Recordings!$D$2:$D$778,B165)</x:f>
        <x:v>49.30416139154347</x:v>
      </x:c>
      <x:c r="E165" s="7" t="n">
        <x:f>AVERAGEIFS(Recordings!$G$2:$G$778,Recordings!$A$2:$A$778,A165,Recordings!$D$2:$D$778,B165)</x:f>
        <x:v>0.00843671536667195</x:v>
      </x:c>
      <x:c r="F165" s="5" t="str">
        <x:v>TAALED</x:v>
      </x:c>
      <x:c r="G165" s="5" t="n">
        <x:v>4</x:v>
      </x:c>
    </x:row>
    <x:row r="166">
      <x:c r="A166" s="5" t="str">
        <x:v>P8</x:v>
      </x:c>
      <x:c r="B166" s="5" t="str">
        <x:v>total_utterances</x:v>
      </x:c>
      <x:c r="C166" s="6" t="n">
        <x:f>AVERAGEIFS(Recordings!$E$2:$E$778,Recordings!$A$2:$A$778,A166,Recordings!$D$2:$D$778,B166)</x:f>
        <x:v>75.75</x:v>
      </x:c>
      <x:c r="D166" s="6" t="n">
        <x:f>AVERAGEIFS(Recordings!$F$2:$F$778,Recordings!$A$2:$A$778,A166,Recordings!$D$2:$D$778,B166)</x:f>
        <x:v>63</x:v>
      </x:c>
      <x:c r="E166" s="7" t="n">
        <x:f>AVERAGEIFS(Recordings!$G$2:$G$778,Recordings!$A$2:$A$778,A166,Recordings!$D$2:$D$778,B166)</x:f>
        <x:v>0.2075144980805358</x:v>
      </x:c>
      <x:c r="F166" s="5" t="str">
        <x:v>CLAN</x:v>
      </x:c>
      <x:c r="G166" s="5" t="n">
        <x:v>4</x:v>
      </x:c>
    </x:row>
    <x:row r="167">
      <x:c r="A167" s="5" t="str">
        <x:v>P8</x:v>
      </x:c>
      <x:c r="B167" s="5" t="str">
        <x:v>total_words</x:v>
      </x:c>
      <x:c r="C167" s="6" t="n">
        <x:f>AVERAGEIFS(Recordings!$E$2:$E$778,Recordings!$A$2:$A$778,A167,Recordings!$D$2:$D$778,B167)</x:f>
        <x:v>964</x:v>
      </x:c>
      <x:c r="D167" s="6" t="n">
        <x:f>AVERAGEIFS(Recordings!$F$2:$F$778,Recordings!$A$2:$A$778,A167,Recordings!$D$2:$D$778,B167)</x:f>
        <x:v>961.75</x:v>
      </x:c>
      <x:c r="E167" s="7" t="n">
        <x:f>AVERAGEIFS(Recordings!$G$2:$G$778,Recordings!$A$2:$A$778,A167,Recordings!$D$2:$D$778,B167)</x:f>
        <x:v>0.004014709390807882</x:v>
      </x:c>
      <x:c r="F167" s="5" t="str">
        <x:v>CLAN</x:v>
      </x:c>
      <x:c r="G167" s="5" t="n">
        <x:v>4</x:v>
      </x:c>
    </x:row>
    <x:row r="168">
      <x:c r="A168" s="5" t="str">
        <x:v>P8</x:v>
      </x:c>
      <x:c r="B168" s="5" t="str">
        <x:v>mlu_words</x:v>
      </x:c>
      <x:c r="C168" s="6" t="n">
        <x:f>AVERAGEIFS(Recordings!$E$2:$E$778,Recordings!$A$2:$A$778,A168,Recordings!$D$2:$D$778,B168)</x:f>
        <x:v>13.11201308462689</x:v>
      </x:c>
      <x:c r="D168" s="6" t="n">
        <x:f>AVERAGEIFS(Recordings!$F$2:$F$778,Recordings!$A$2:$A$778,A168,Recordings!$D$2:$D$778,B168)</x:f>
        <x:v>15.54425</x:v>
      </x:c>
      <x:c r="E168" s="7" t="n">
        <x:f>AVERAGEIFS(Recordings!$G$2:$G$778,Recordings!$A$2:$A$778,A168,Recordings!$D$2:$D$778,B168)</x:f>
        <x:v>0.1556429806556081</x:v>
      </x:c>
      <x:c r="F168" s="5" t="str">
        <x:v>CLAN</x:v>
      </x:c>
      <x:c r="G168" s="5" t="n">
        <x:v>4</x:v>
      </x:c>
    </x:row>
    <x:row r="169">
      <x:c r="A169" s="5" t="str">
        <x:v>P8</x:v>
      </x:c>
      <x:c r="B169" s="5" t="str">
        <x:v>mlu_words_sd</x:v>
      </x:c>
      <x:c r="C169" s="6" t="n">
        <x:f>AVERAGEIFS(Recordings!$E$2:$E$778,Recordings!$A$2:$A$778,A169,Recordings!$D$2:$D$778,B169)</x:f>
        <x:v>10.916587564230124</x:v>
      </x:c>
      <x:c r="D169" s="6" t="n">
        <x:f>AVERAGEIFS(Recordings!$F$2:$F$778,Recordings!$A$2:$A$778,A169,Recordings!$D$2:$D$778,B169)</x:f>
        <x:v>11.863499999999998</x:v>
      </x:c>
      <x:c r="E169" s="7" t="n">
        <x:f>AVERAGEIFS(Recordings!$G$2:$G$778,Recordings!$A$2:$A$778,A169,Recordings!$D$2:$D$778,B169)</x:f>
        <x:v>0.1008712383498143</x:v>
      </x:c>
      <x:c r="F169" s="5" t="str">
        <x:v>CLAN</x:v>
      </x:c>
      <x:c r="G169" s="5" t="n">
        <x:v>4</x:v>
      </x:c>
    </x:row>
    <x:row r="170">
      <x:c r="A170" s="5" t="str">
        <x:v>P9</x:v>
      </x:c>
      <x:c r="B170" s="5" t="str">
        <x:v>basic_ntokens</x:v>
      </x:c>
      <x:c r="C170" s="6" t="n">
        <x:f>AVERAGEIFS(Recordings!$E$2:$E$778,Recordings!$A$2:$A$778,A170,Recordings!$D$2:$D$778,B170)</x:f>
        <x:v>1290.75</x:v>
      </x:c>
      <x:c r="D170" s="6" t="n">
        <x:f>AVERAGEIFS(Recordings!$F$2:$F$778,Recordings!$A$2:$A$778,A170,Recordings!$D$2:$D$778,B170)</x:f>
        <x:v>1302.5</x:v>
      </x:c>
      <x:c r="E170" s="7" t="n">
        <x:f>AVERAGEIFS(Recordings!$G$2:$G$778,Recordings!$A$2:$A$778,A170,Recordings!$D$2:$D$778,B170)</x:f>
        <x:v>0.009110354669108842</x:v>
      </x:c>
      <x:c r="F170" s="5" t="str">
        <x:v>TAALED</x:v>
      </x:c>
      <x:c r="G170" s="5" t="n">
        <x:v>4</x:v>
      </x:c>
    </x:row>
    <x:row r="171">
      <x:c r="A171" s="5" t="str">
        <x:v>P9</x:v>
      </x:c>
      <x:c r="B171" s="5" t="str">
        <x:v>basic_ntypes</x:v>
      </x:c>
      <x:c r="C171" s="6" t="n">
        <x:f>AVERAGEIFS(Recordings!$E$2:$E$778,Recordings!$A$2:$A$778,A171,Recordings!$D$2:$D$778,B171)</x:f>
        <x:v>402.75</x:v>
      </x:c>
      <x:c r="D171" s="6" t="n">
        <x:f>AVERAGEIFS(Recordings!$F$2:$F$778,Recordings!$A$2:$A$778,A171,Recordings!$D$2:$D$778,B171)</x:f>
        <x:v>405.5</x:v>
      </x:c>
      <x:c r="E171" s="7" t="n">
        <x:f>AVERAGEIFS(Recordings!$G$2:$G$778,Recordings!$A$2:$A$778,A171,Recordings!$D$2:$D$778,B171)</x:f>
        <x:v>0.009328478679904193</x:v>
      </x:c>
      <x:c r="F171" s="5" t="str">
        <x:v>TAALED</x:v>
      </x:c>
      <x:c r="G171" s="5" t="n">
        <x:v>4</x:v>
      </x:c>
    </x:row>
    <x:row r="172">
      <x:c r="A172" s="5" t="str">
        <x:v>P9</x:v>
      </x:c>
      <x:c r="B172" s="5" t="str">
        <x:v>basic_ncontent_tokens</x:v>
      </x:c>
      <x:c r="C172" s="6" t="n">
        <x:f>AVERAGEIFS(Recordings!$E$2:$E$778,Recordings!$A$2:$A$778,A172,Recordings!$D$2:$D$778,B172)</x:f>
        <x:v>526</x:v>
      </x:c>
      <x:c r="D172" s="6" t="n">
        <x:f>AVERAGEIFS(Recordings!$F$2:$F$778,Recordings!$A$2:$A$778,A172,Recordings!$D$2:$D$778,B172)</x:f>
        <x:v>534.25</x:v>
      </x:c>
      <x:c r="E172" s="7" t="n">
        <x:f>AVERAGEIFS(Recordings!$G$2:$G$778,Recordings!$A$2:$A$778,A172,Recordings!$D$2:$D$778,B172)</x:f>
        <x:v>0.01773460415701795</x:v>
      </x:c>
      <x:c r="F172" s="5" t="str">
        <x:v>TAALED</x:v>
      </x:c>
      <x:c r="G172" s="5" t="n">
        <x:v>4</x:v>
      </x:c>
    </x:row>
    <x:row r="173">
      <x:c r="A173" s="5" t="str">
        <x:v>P9</x:v>
      </x:c>
      <x:c r="B173" s="5" t="str">
        <x:v>basic_ncontent_types</x:v>
      </x:c>
      <x:c r="C173" s="6" t="n">
        <x:f>AVERAGEIFS(Recordings!$E$2:$E$778,Recordings!$A$2:$A$778,A173,Recordings!$D$2:$D$778,B173)</x:f>
        <x:v>282.5</x:v>
      </x:c>
      <x:c r="D173" s="6" t="n">
        <x:f>AVERAGEIFS(Recordings!$F$2:$F$778,Recordings!$A$2:$A$778,A173,Recordings!$D$2:$D$778,B173)</x:f>
        <x:v>284.25</x:v>
      </x:c>
      <x:c r="E173" s="7" t="n">
        <x:f>AVERAGEIFS(Recordings!$G$2:$G$778,Recordings!$A$2:$A$778,A173,Recordings!$D$2:$D$778,B173)</x:f>
        <x:v>0.009702531283701323</x:v>
      </x:c>
      <x:c r="F173" s="5" t="str">
        <x:v>TAALED</x:v>
      </x:c>
      <x:c r="G173" s="5" t="n">
        <x:v>4</x:v>
      </x:c>
    </x:row>
    <x:row r="174">
      <x:c r="A174" s="5" t="str">
        <x:v>P9</x:v>
      </x:c>
      <x:c r="B174" s="5" t="str">
        <x:v>basic_nfunction_tokens</x:v>
      </x:c>
      <x:c r="C174" s="6" t="n">
        <x:f>AVERAGEIFS(Recordings!$E$2:$E$778,Recordings!$A$2:$A$778,A174,Recordings!$D$2:$D$778,B174)</x:f>
        <x:v>764.75</x:v>
      </x:c>
      <x:c r="D174" s="6" t="n">
        <x:f>AVERAGEIFS(Recordings!$F$2:$F$778,Recordings!$A$2:$A$778,A174,Recordings!$D$2:$D$778,B174)</x:f>
        <x:v>768.25</x:v>
      </x:c>
      <x:c r="E174" s="7" t="n">
        <x:f>AVERAGEIFS(Recordings!$G$2:$G$778,Recordings!$A$2:$A$778,A174,Recordings!$D$2:$D$778,B174)</x:f>
        <x:v>0.00717484787550406</x:v>
      </x:c>
      <x:c r="F174" s="5" t="str">
        <x:v>TAALED</x:v>
      </x:c>
      <x:c r="G174" s="5" t="n">
        <x:v>4</x:v>
      </x:c>
    </x:row>
    <x:row r="175">
      <x:c r="A175" s="5" t="str">
        <x:v>P9</x:v>
      </x:c>
      <x:c r="B175" s="5" t="str">
        <x:v>basic_nfunction_types</x:v>
      </x:c>
      <x:c r="C175" s="6" t="n">
        <x:f>AVERAGEIFS(Recordings!$E$2:$E$778,Recordings!$A$2:$A$778,A175,Recordings!$D$2:$D$778,B175)</x:f>
        <x:v>120.25</x:v>
      </x:c>
      <x:c r="D175" s="6" t="n">
        <x:f>AVERAGEIFS(Recordings!$F$2:$F$778,Recordings!$A$2:$A$778,A175,Recordings!$D$2:$D$778,B175)</x:f>
        <x:v>121.25</x:v>
      </x:c>
      <x:c r="E175" s="7" t="n">
        <x:f>AVERAGEIFS(Recordings!$G$2:$G$778,Recordings!$A$2:$A$778,A175,Recordings!$D$2:$D$778,B175)</x:f>
        <x:v>0.008136752136752138</x:v>
      </x:c>
      <x:c r="F175" s="5" t="str">
        <x:v>TAALED</x:v>
      </x:c>
      <x:c r="G175" s="5" t="n">
        <x:v>4</x:v>
      </x:c>
    </x:row>
    <x:row r="176">
      <x:c r="A176" s="5" t="str">
        <x:v>P9</x:v>
      </x:c>
      <x:c r="B176" s="5" t="str">
        <x:v>lexical_density_tokens</x:v>
      </x:c>
      <x:c r="C176" s="6" t="n">
        <x:f>AVERAGEIFS(Recordings!$E$2:$E$778,Recordings!$A$2:$A$778,A176,Recordings!$D$2:$D$778,B176)</x:f>
        <x:v>0.40703305057837946</x:v>
      </x:c>
      <x:c r="D176" s="6" t="n">
        <x:f>AVERAGEIFS(Recordings!$F$2:$F$778,Recordings!$A$2:$A$778,A176,Recordings!$D$2:$D$778,B176)</x:f>
        <x:v>0.4095561181491114</x:v>
      </x:c>
      <x:c r="E176" s="7" t="n">
        <x:f>AVERAGEIFS(Recordings!$G$2:$G$778,Recordings!$A$2:$A$778,A176,Recordings!$D$2:$D$778,B176)</x:f>
        <x:v>0.011758731864278636</x:v>
      </x:c>
      <x:c r="F176" s="5" t="str">
        <x:v>TAALED</x:v>
      </x:c>
      <x:c r="G176" s="5" t="n">
        <x:v>4</x:v>
      </x:c>
    </x:row>
    <x:row r="177">
      <x:c r="A177" s="5" t="str">
        <x:v>P9</x:v>
      </x:c>
      <x:c r="B177" s="5" t="str">
        <x:v>lexical_density_types</x:v>
      </x:c>
      <x:c r="C177" s="6" t="n">
        <x:f>AVERAGEIFS(Recordings!$E$2:$E$778,Recordings!$A$2:$A$778,A177,Recordings!$D$2:$D$778,B177)</x:f>
        <x:v>0.7005171490593971</x:v>
      </x:c>
      <x:c r="D177" s="6" t="n">
        <x:f>AVERAGEIFS(Recordings!$F$2:$F$778,Recordings!$A$2:$A$778,A177,Recordings!$D$2:$D$778,B177)</x:f>
        <x:v>0.7001024602498062</x:v>
      </x:c>
      <x:c r="E177" s="7" t="n">
        <x:f>AVERAGEIFS(Recordings!$G$2:$G$778,Recordings!$A$2:$A$778,A177,Recordings!$D$2:$D$778,B177)</x:f>
        <x:v>0.004091999576833649</x:v>
      </x:c>
      <x:c r="F177" s="5" t="str">
        <x:v>TAALED</x:v>
      </x:c>
      <x:c r="G177" s="5" t="n">
        <x:v>4</x:v>
      </x:c>
    </x:row>
    <x:row r="178">
      <x:c r="A178" s="5" t="str">
        <x:v>P9</x:v>
      </x:c>
      <x:c r="B178" s="5" t="str">
        <x:v>simple_ttr_aw</x:v>
      </x:c>
      <x:c r="C178" s="6" t="n">
        <x:f>AVERAGEIFS(Recordings!$E$2:$E$778,Recordings!$A$2:$A$778,A178,Recordings!$D$2:$D$778,B178)</x:f>
        <x:v>0.312135122793324</x:v>
      </x:c>
      <x:c r="D178" s="6" t="n">
        <x:f>AVERAGEIFS(Recordings!$F$2:$F$778,Recordings!$A$2:$A$778,A178,Recordings!$D$2:$D$778,B178)</x:f>
        <x:v>0.31144066666338743</x:v>
      </x:c>
      <x:c r="E178" s="7" t="n">
        <x:f>AVERAGEIFS(Recordings!$G$2:$G$778,Recordings!$A$2:$A$778,A178,Recordings!$D$2:$D$778,B178)</x:f>
        <x:v>0.0034263198776220433</x:v>
      </x:c>
      <x:c r="F178" s="5" t="str">
        <x:v>TAALED</x:v>
      </x:c>
      <x:c r="G178" s="5" t="n">
        <x:v>4</x:v>
      </x:c>
    </x:row>
    <x:row r="179">
      <x:c r="A179" s="5" t="str">
        <x:v>P9</x:v>
      </x:c>
      <x:c r="B179" s="5" t="str">
        <x:v>root_ttr_aw</x:v>
      </x:c>
      <x:c r="C179" s="6" t="n">
        <x:f>AVERAGEIFS(Recordings!$E$2:$E$778,Recordings!$A$2:$A$778,A179,Recordings!$D$2:$D$778,B179)</x:f>
        <x:v>11.205195169241552</x:v>
      </x:c>
      <x:c r="D179" s="6" t="n">
        <x:f>AVERAGEIFS(Recordings!$F$2:$F$778,Recordings!$A$2:$A$778,A179,Recordings!$D$2:$D$778,B179)</x:f>
        <x:v>11.23110373554141</x:v>
      </x:c>
      <x:c r="E179" s="7" t="n">
        <x:f>AVERAGEIFS(Recordings!$G$2:$G$778,Recordings!$A$2:$A$778,A179,Recordings!$D$2:$D$778,B179)</x:f>
        <x:v>0.006309828319153638</x:v>
      </x:c>
      <x:c r="F179" s="5" t="str">
        <x:v>TAALED</x:v>
      </x:c>
      <x:c r="G179" s="5" t="n">
        <x:v>4</x:v>
      </x:c>
    </x:row>
    <x:row r="180">
      <x:c r="A180" s="5" t="str">
        <x:v>P9</x:v>
      </x:c>
      <x:c r="B180" s="5" t="str">
        <x:v>log_ttr_aw</x:v>
      </x:c>
      <x:c r="C180" s="6" t="n">
        <x:f>AVERAGEIFS(Recordings!$E$2:$E$778,Recordings!$A$2:$A$778,A180,Recordings!$D$2:$D$778,B180)</x:f>
        <x:v>0.8373819331643092</x:v>
      </x:c>
      <x:c r="D180" s="6" t="n">
        <x:f>AVERAGEIFS(Recordings!$F$2:$F$778,Recordings!$A$2:$A$778,A180,Recordings!$D$2:$D$778,B180)</x:f>
        <x:v>0.8372826873611482</x:v>
      </x:c>
      <x:c r="E180" s="7" t="n">
        <x:f>AVERAGEIFS(Recordings!$G$2:$G$778,Recordings!$A$2:$A$778,A180,Recordings!$D$2:$D$778,B180)</x:f>
        <x:v>0.0007091465383238282</x:v>
      </x:c>
      <x:c r="F180" s="5" t="str">
        <x:v>TAALED</x:v>
      </x:c>
      <x:c r="G180" s="5" t="n">
        <x:v>4</x:v>
      </x:c>
    </x:row>
    <x:row r="181">
      <x:c r="A181" s="5" t="str">
        <x:v>P9</x:v>
      </x:c>
      <x:c r="B181" s="5" t="str">
        <x:v>maas_ttr_aw</x:v>
      </x:c>
      <x:c r="C181" s="6" t="n">
        <x:f>AVERAGEIFS(Recordings!$E$2:$E$778,Recordings!$A$2:$A$778,A181,Recordings!$D$2:$D$778,B181)</x:f>
        <x:v>0.052301221885189444</x:v>
      </x:c>
      <x:c r="D181" s="6" t="n">
        <x:f>AVERAGEIFS(Recordings!$F$2:$F$778,Recordings!$A$2:$A$778,A181,Recordings!$D$2:$D$778,B181)</x:f>
        <x:v>0.05226562567846943</x:v>
      </x:c>
      <x:c r="E181" s="7" t="n">
        <x:f>AVERAGEIFS(Recordings!$G$2:$G$778,Recordings!$A$2:$A$778,A181,Recordings!$D$2:$D$778,B181)</x:f>
        <x:v>0.004513420639863674</x:v>
      </x:c>
      <x:c r="F181" s="5" t="str">
        <x:v>TAALED</x:v>
      </x:c>
      <x:c r="G181" s="5" t="n">
        <x:v>4</x:v>
      </x:c>
    </x:row>
    <x:row r="182">
      <x:c r="A182" s="5" t="str">
        <x:v>P9</x:v>
      </x:c>
      <x:c r="B182" s="5" t="str">
        <x:v>mattr50_aw</x:v>
      </x:c>
      <x:c r="C182" s="6" t="n">
        <x:f>AVERAGEIFS(Recordings!$E$2:$E$778,Recordings!$A$2:$A$778,A182,Recordings!$D$2:$D$778,B182)</x:f>
        <x:v>0.723849068991689</x:v>
      </x:c>
      <x:c r="D182" s="6" t="n">
        <x:f>AVERAGEIFS(Recordings!$F$2:$F$778,Recordings!$A$2:$A$778,A182,Recordings!$D$2:$D$778,B182)</x:f>
        <x:v>0.7246011665778893</x:v>
      </x:c>
      <x:c r="E182" s="7" t="n">
        <x:f>AVERAGEIFS(Recordings!$G$2:$G$778,Recordings!$A$2:$A$778,A182,Recordings!$D$2:$D$778,B182)</x:f>
        <x:v>0.00447361686106665</x:v>
      </x:c>
      <x:c r="F182" s="5" t="str">
        <x:v>TAALED</x:v>
      </x:c>
      <x:c r="G182" s="5" t="n">
        <x:v>4</x:v>
      </x:c>
    </x:row>
    <x:row r="183">
      <x:c r="A183" s="5" t="str">
        <x:v>P9</x:v>
      </x:c>
      <x:c r="B183" s="5" t="str">
        <x:v>msttr50_aw</x:v>
      </x:c>
      <x:c r="C183" s="6" t="n">
        <x:f>AVERAGEIFS(Recordings!$E$2:$E$778,Recordings!$A$2:$A$778,A183,Recordings!$D$2:$D$778,B183)</x:f>
        <x:v>0.7219181318681318</x:v>
      </x:c>
      <x:c r="D183" s="6" t="n">
        <x:f>AVERAGEIFS(Recordings!$F$2:$F$778,Recordings!$A$2:$A$778,A183,Recordings!$D$2:$D$778,B183)</x:f>
        <x:v>0.7245717869087436</x:v>
      </x:c>
      <x:c r="E183" s="7" t="n">
        <x:f>AVERAGEIFS(Recordings!$G$2:$G$778,Recordings!$A$2:$A$778,A183,Recordings!$D$2:$D$778,B183)</x:f>
        <x:v>0.0036283771404801435</x:v>
      </x:c>
      <x:c r="F183" s="5" t="str">
        <x:v>TAALED</x:v>
      </x:c>
      <x:c r="G183" s="5" t="n">
        <x:v>4</x:v>
      </x:c>
    </x:row>
    <x:row r="184">
      <x:c r="A184" s="5" t="str">
        <x:v>P9</x:v>
      </x:c>
      <x:c r="B184" s="5" t="str">
        <x:v>hdd42_aw</x:v>
      </x:c>
      <x:c r="C184" s="6" t="n">
        <x:f>AVERAGEIFS(Recordings!$E$2:$E$778,Recordings!$A$2:$A$778,A184,Recordings!$D$2:$D$778,B184)</x:f>
        <x:v>0.816860891239181</x:v>
      </x:c>
      <x:c r="D184" s="6" t="n">
        <x:f>AVERAGEIFS(Recordings!$F$2:$F$778,Recordings!$A$2:$A$778,A184,Recordings!$D$2:$D$778,B184)</x:f>
        <x:v>0.817726695432206</x:v>
      </x:c>
      <x:c r="E184" s="7" t="n">
        <x:f>AVERAGEIFS(Recordings!$G$2:$G$778,Recordings!$A$2:$A$778,A184,Recordings!$D$2:$D$778,B184)</x:f>
        <x:v>0.002051849359395531</x:v>
      </x:c>
      <x:c r="F184" s="5" t="str">
        <x:v>TAALED</x:v>
      </x:c>
      <x:c r="G184" s="5" t="n">
        <x:v>4</x:v>
      </x:c>
    </x:row>
    <x:row r="185">
      <x:c r="A185" s="5" t="str">
        <x:v>P9</x:v>
      </x:c>
      <x:c r="B185" s="5" t="str">
        <x:v>mtld_original_aw</x:v>
      </x:c>
      <x:c r="C185" s="6" t="n">
        <x:f>AVERAGEIFS(Recordings!$E$2:$E$778,Recordings!$A$2:$A$778,A185,Recordings!$D$2:$D$778,B185)</x:f>
        <x:v>44.176586361222014</x:v>
      </x:c>
      <x:c r="D185" s="6" t="n">
        <x:f>AVERAGEIFS(Recordings!$F$2:$F$778,Recordings!$A$2:$A$778,A185,Recordings!$D$2:$D$778,B185)</x:f>
        <x:v>45.04673162332513</x:v>
      </x:c>
      <x:c r="E185" s="7" t="n">
        <x:f>AVERAGEIFS(Recordings!$G$2:$G$778,Recordings!$A$2:$A$778,A185,Recordings!$D$2:$D$778,B185)</x:f>
        <x:v>0.018980041068517403</x:v>
      </x:c>
      <x:c r="F185" s="5" t="str">
        <x:v>TAALED</x:v>
      </x:c>
      <x:c r="G185" s="5" t="n">
        <x:v>4</x:v>
      </x:c>
    </x:row>
    <x:row r="186">
      <x:c r="A186" s="5" t="str">
        <x:v>P9</x:v>
      </x:c>
      <x:c r="B186" s="5" t="str">
        <x:v>mtld_mean_factor_length_aw</x:v>
      </x:c>
      <x:c r="C186" s="6" t="n">
        <x:f>AVERAGEIFS(Recordings!$E$2:$E$778,Recordings!$A$2:$A$778,A186,Recordings!$D$2:$D$778,B186)</x:f>
        <x:v>44.310220018404266</x:v>
      </x:c>
      <x:c r="D186" s="6" t="n">
        <x:f>AVERAGEIFS(Recordings!$F$2:$F$778,Recordings!$A$2:$A$778,A186,Recordings!$D$2:$D$778,B186)</x:f>
        <x:v>45.01825548736931</x:v>
      </x:c>
      <x:c r="E186" s="7" t="n">
        <x:f>AVERAGEIFS(Recordings!$G$2:$G$778,Recordings!$A$2:$A$778,A186,Recordings!$D$2:$D$778,B186)</x:f>
        <x:v>0.018837408236822846</x:v>
      </x:c>
      <x:c r="F186" s="5" t="str">
        <x:v>TAALED</x:v>
      </x:c>
      <x:c r="G186" s="5" t="n">
        <x:v>4</x:v>
      </x:c>
    </x:row>
    <x:row r="187">
      <x:c r="A187" s="5" t="str">
        <x:v>P9</x:v>
      </x:c>
      <x:c r="B187" s="5" t="str">
        <x:v>total_utterances</x:v>
      </x:c>
      <x:c r="C187" s="6" t="n">
        <x:f>AVERAGEIFS(Recordings!$E$2:$E$778,Recordings!$A$2:$A$778,A187,Recordings!$D$2:$D$778,B187)</x:f>
        <x:v>80</x:v>
      </x:c>
      <x:c r="D187" s="6" t="n">
        <x:f>AVERAGEIFS(Recordings!$F$2:$F$778,Recordings!$A$2:$A$778,A187,Recordings!$D$2:$D$778,B187)</x:f>
        <x:v>81</x:v>
      </x:c>
      <x:c r="E187" s="7" t="n">
        <x:f>AVERAGEIFS(Recordings!$G$2:$G$778,Recordings!$A$2:$A$778,A187,Recordings!$D$2:$D$778,B187)</x:f>
        <x:v>0.08516483516483517</x:v>
      </x:c>
      <x:c r="F187" s="5" t="str">
        <x:v>CLAN</x:v>
      </x:c>
      <x:c r="G187" s="5" t="n">
        <x:v>4</x:v>
      </x:c>
    </x:row>
    <x:row r="188">
      <x:c r="A188" s="5" t="str">
        <x:v>P9</x:v>
      </x:c>
      <x:c r="B188" s="5" t="str">
        <x:v>total_words</x:v>
      </x:c>
      <x:c r="C188" s="6" t="n">
        <x:f>AVERAGEIFS(Recordings!$E$2:$E$778,Recordings!$A$2:$A$778,A188,Recordings!$D$2:$D$778,B188)</x:f>
        <x:v>1280.5</x:v>
      </x:c>
      <x:c r="D188" s="6" t="n">
        <x:f>AVERAGEIFS(Recordings!$F$2:$F$778,Recordings!$A$2:$A$778,A188,Recordings!$D$2:$D$778,B188)</x:f>
        <x:v>1295</x:v>
      </x:c>
      <x:c r="E188" s="7" t="n">
        <x:f>AVERAGEIFS(Recordings!$G$2:$G$778,Recordings!$A$2:$A$778,A188,Recordings!$D$2:$D$778,B188)</x:f>
        <x:v>0.011212411244362914</x:v>
      </x:c>
      <x:c r="F188" s="5" t="str">
        <x:v>CLAN</x:v>
      </x:c>
      <x:c r="G188" s="5" t="n">
        <x:v>4</x:v>
      </x:c>
    </x:row>
    <x:row r="189">
      <x:c r="A189" s="5" t="str">
        <x:v>P9</x:v>
      </x:c>
      <x:c r="B189" s="5" t="str">
        <x:v>mlu_words</x:v>
      </x:c>
      <x:c r="C189" s="6" t="n">
        <x:f>AVERAGEIFS(Recordings!$E$2:$E$778,Recordings!$A$2:$A$778,A189,Recordings!$D$2:$D$778,B189)</x:f>
        <x:v>16.30242363575697</x:v>
      </x:c>
      <x:c r="D189" s="6" t="n">
        <x:f>AVERAGEIFS(Recordings!$F$2:$F$778,Recordings!$A$2:$A$778,A189,Recordings!$D$2:$D$778,B189)</x:f>
        <x:v>16.141</x:v>
      </x:c>
      <x:c r="E189" s="7" t="n">
        <x:f>AVERAGEIFS(Recordings!$G$2:$G$778,Recordings!$A$2:$A$778,A189,Recordings!$D$2:$D$778,B189)</x:f>
        <x:v>0.10069777018912893</x:v>
      </x:c>
      <x:c r="F189" s="5" t="str">
        <x:v>CLAN</x:v>
      </x:c>
      <x:c r="G189" s="5" t="n">
        <x:v>4</x:v>
      </x:c>
    </x:row>
    <x:row r="190">
      <x:c r="A190" s="5" t="str">
        <x:v>P9</x:v>
      </x:c>
      <x:c r="B190" s="5" t="str">
        <x:v>mlu_words_sd</x:v>
      </x:c>
      <x:c r="C190" s="6" t="n">
        <x:f>AVERAGEIFS(Recordings!$E$2:$E$778,Recordings!$A$2:$A$778,A190,Recordings!$D$2:$D$778,B190)</x:f>
        <x:v>8.422000421073005</x:v>
      </x:c>
      <x:c r="D190" s="6" t="n">
        <x:f>AVERAGEIFS(Recordings!$F$2:$F$778,Recordings!$A$2:$A$778,A190,Recordings!$D$2:$D$778,B190)</x:f>
        <x:v>7.4505</x:v>
      </x:c>
      <x:c r="E190" s="7" t="n">
        <x:f>AVERAGEIFS(Recordings!$G$2:$G$778,Recordings!$A$2:$A$778,A190,Recordings!$D$2:$D$778,B190)</x:f>
        <x:v>0.1426284669145341</x:v>
      </x:c>
      <x:c r="F190" s="5" t="str">
        <x:v>CLAN</x:v>
      </x:c>
      <x:c r="G190" s="5" t="n">
        <x:v>4</x:v>
      </x:c>
    </x:row>
    <x:row r="191">
      <x:c r="A191" s="5" t="str">
        <x:v>P10</x:v>
      </x:c>
      <x:c r="B191" s="5" t="str">
        <x:v>basic_ntokens</x:v>
      </x:c>
      <x:c r="C191" s="6" t="n">
        <x:f>AVERAGEIFS(Recordings!$E$2:$E$778,Recordings!$A$2:$A$778,A191,Recordings!$D$2:$D$778,B191)</x:f>
        <x:v>286</x:v>
      </x:c>
      <x:c r="D191" s="6" t="n">
        <x:f>AVERAGEIFS(Recordings!$F$2:$F$778,Recordings!$A$2:$A$778,A191,Recordings!$D$2:$D$778,B191)</x:f>
        <x:v>292.75</x:v>
      </x:c>
      <x:c r="E191" s="7" t="n">
        <x:f>AVERAGEIFS(Recordings!$G$2:$G$778,Recordings!$A$2:$A$778,A191,Recordings!$D$2:$D$778,B191)</x:f>
        <x:v>0.02261892402309761</x:v>
      </x:c>
      <x:c r="F191" s="5" t="str">
        <x:v>TAALED</x:v>
      </x:c>
      <x:c r="G191" s="5" t="n">
        <x:v>4</x:v>
      </x:c>
    </x:row>
    <x:row r="192">
      <x:c r="A192" s="5" t="str">
        <x:v>P10</x:v>
      </x:c>
      <x:c r="B192" s="5" t="str">
        <x:v>basic_ntypes</x:v>
      </x:c>
      <x:c r="C192" s="6" t="n">
        <x:f>AVERAGEIFS(Recordings!$E$2:$E$778,Recordings!$A$2:$A$778,A192,Recordings!$D$2:$D$778,B192)</x:f>
        <x:v>130.25</x:v>
      </x:c>
      <x:c r="D192" s="6" t="n">
        <x:f>AVERAGEIFS(Recordings!$F$2:$F$778,Recordings!$A$2:$A$778,A192,Recordings!$D$2:$D$778,B192)</x:f>
        <x:v>132.5</x:v>
      </x:c>
      <x:c r="E192" s="7" t="n">
        <x:f>AVERAGEIFS(Recordings!$G$2:$G$778,Recordings!$A$2:$A$778,A192,Recordings!$D$2:$D$778,B192)</x:f>
        <x:v>0.022941879334004683</x:v>
      </x:c>
      <x:c r="F192" s="5" t="str">
        <x:v>TAALED</x:v>
      </x:c>
      <x:c r="G192" s="5" t="n">
        <x:v>4</x:v>
      </x:c>
    </x:row>
    <x:row r="193">
      <x:c r="A193" s="5" t="str">
        <x:v>P10</x:v>
      </x:c>
      <x:c r="B193" s="5" t="str">
        <x:v>basic_ncontent_tokens</x:v>
      </x:c>
      <x:c r="C193" s="6" t="n">
        <x:f>AVERAGEIFS(Recordings!$E$2:$E$778,Recordings!$A$2:$A$778,A193,Recordings!$D$2:$D$778,B193)</x:f>
        <x:v>117.75</x:v>
      </x:c>
      <x:c r="D193" s="6" t="n">
        <x:f>AVERAGEIFS(Recordings!$F$2:$F$778,Recordings!$A$2:$A$778,A193,Recordings!$D$2:$D$778,B193)</x:f>
        <x:v>120</x:v>
      </x:c>
      <x:c r="E193" s="7" t="n">
        <x:f>AVERAGEIFS(Recordings!$G$2:$G$778,Recordings!$A$2:$A$778,A193,Recordings!$D$2:$D$778,B193)</x:f>
        <x:v>0.02674712014660246</x:v>
      </x:c>
      <x:c r="F193" s="5" t="str">
        <x:v>TAALED</x:v>
      </x:c>
      <x:c r="G193" s="5" t="n">
        <x:v>4</x:v>
      </x:c>
    </x:row>
    <x:row r="194">
      <x:c r="A194" s="5" t="str">
        <x:v>P10</x:v>
      </x:c>
      <x:c r="B194" s="5" t="str">
        <x:v>basic_ncontent_types</x:v>
      </x:c>
      <x:c r="C194" s="6" t="n">
        <x:f>AVERAGEIFS(Recordings!$E$2:$E$778,Recordings!$A$2:$A$778,A194,Recordings!$D$2:$D$778,B194)</x:f>
        <x:v>80.25</x:v>
      </x:c>
      <x:c r="D194" s="6" t="n">
        <x:f>AVERAGEIFS(Recordings!$F$2:$F$778,Recordings!$A$2:$A$778,A194,Recordings!$D$2:$D$778,B194)</x:f>
        <x:v>81.75</x:v>
      </x:c>
      <x:c r="E194" s="7" t="n">
        <x:f>AVERAGEIFS(Recordings!$G$2:$G$778,Recordings!$A$2:$A$778,A194,Recordings!$D$2:$D$778,B194)</x:f>
        <x:v>0.03163586355833223</x:v>
      </x:c>
      <x:c r="F194" s="5" t="str">
        <x:v>TAALED</x:v>
      </x:c>
      <x:c r="G194" s="5" t="n">
        <x:v>4</x:v>
      </x:c>
    </x:row>
    <x:row r="195">
      <x:c r="A195" s="5" t="str">
        <x:v>P10</x:v>
      </x:c>
      <x:c r="B195" s="5" t="str">
        <x:v>basic_nfunction_tokens</x:v>
      </x:c>
      <x:c r="C195" s="6" t="n">
        <x:f>AVERAGEIFS(Recordings!$E$2:$E$778,Recordings!$A$2:$A$778,A195,Recordings!$D$2:$D$778,B195)</x:f>
        <x:v>168.25</x:v>
      </x:c>
      <x:c r="D195" s="6" t="n">
        <x:f>AVERAGEIFS(Recordings!$F$2:$F$778,Recordings!$A$2:$A$778,A195,Recordings!$D$2:$D$778,B195)</x:f>
        <x:v>172.75</x:v>
      </x:c>
      <x:c r="E195" s="7" t="n">
        <x:f>AVERAGEIFS(Recordings!$G$2:$G$778,Recordings!$A$2:$A$778,A195,Recordings!$D$2:$D$778,B195)</x:f>
        <x:v>0.02339424141749723</x:v>
      </x:c>
      <x:c r="F195" s="5" t="str">
        <x:v>TAALED</x:v>
      </x:c>
      <x:c r="G195" s="5" t="n">
        <x:v>4</x:v>
      </x:c>
    </x:row>
    <x:row r="196">
      <x:c r="A196" s="5" t="str">
        <x:v>P10</x:v>
      </x:c>
      <x:c r="B196" s="5" t="str">
        <x:v>basic_nfunction_types</x:v>
      </x:c>
      <x:c r="C196" s="6" t="n">
        <x:f>AVERAGEIFS(Recordings!$E$2:$E$778,Recordings!$A$2:$A$778,A196,Recordings!$D$2:$D$778,B196)</x:f>
        <x:v>50</x:v>
      </x:c>
      <x:c r="D196" s="6" t="n">
        <x:f>AVERAGEIFS(Recordings!$F$2:$F$778,Recordings!$A$2:$A$778,A196,Recordings!$D$2:$D$778,B196)</x:f>
        <x:v>50.75</x:v>
      </x:c>
      <x:c r="E196" s="7" t="n">
        <x:f>AVERAGEIFS(Recordings!$G$2:$G$778,Recordings!$A$2:$A$778,A196,Recordings!$D$2:$D$778,B196)</x:f>
        <x:v>0.0246361099905876</x:v>
      </x:c>
      <x:c r="F196" s="5" t="str">
        <x:v>TAALED</x:v>
      </x:c>
      <x:c r="G196" s="5" t="n">
        <x:v>4</x:v>
      </x:c>
    </x:row>
    <x:row r="197">
      <x:c r="A197" s="5" t="str">
        <x:v>P10</x:v>
      </x:c>
      <x:c r="B197" s="5" t="str">
        <x:v>lexical_density_tokens</x:v>
      </x:c>
      <x:c r="C197" s="6" t="n">
        <x:f>AVERAGEIFS(Recordings!$E$2:$E$778,Recordings!$A$2:$A$778,A197,Recordings!$D$2:$D$778,B197)</x:f>
        <x:v>0.4189731476212198</x:v>
      </x:c>
      <x:c r="D197" s="6" t="n">
        <x:f>AVERAGEIFS(Recordings!$F$2:$F$778,Recordings!$A$2:$A$778,A197,Recordings!$D$2:$D$778,B197)</x:f>
        <x:v>0.4176487376134386</x:v>
      </x:c>
      <x:c r="E197" s="7" t="n">
        <x:f>AVERAGEIFS(Recordings!$G$2:$G$778,Recordings!$A$2:$A$778,A197,Recordings!$D$2:$D$778,B197)</x:f>
        <x:v>0.014393741619570612</x:v>
      </x:c>
      <x:c r="F197" s="5" t="str">
        <x:v>TAALED</x:v>
      </x:c>
      <x:c r="G197" s="5" t="n">
        <x:v>4</x:v>
      </x:c>
    </x:row>
    <x:row r="198">
      <x:c r="A198" s="5" t="str">
        <x:v>P10</x:v>
      </x:c>
      <x:c r="B198" s="5" t="str">
        <x:v>lexical_density_types</x:v>
      </x:c>
      <x:c r="C198" s="6" t="n">
        <x:f>AVERAGEIFS(Recordings!$E$2:$E$778,Recordings!$A$2:$A$778,A198,Recordings!$D$2:$D$778,B198)</x:f>
        <x:v>0.6135576196697418</x:v>
      </x:c>
      <x:c r="D198" s="6" t="n">
        <x:f>AVERAGEIFS(Recordings!$F$2:$F$778,Recordings!$A$2:$A$778,A198,Recordings!$D$2:$D$778,B198)</x:f>
        <x:v>0.6157145900838147</x:v>
      </x:c>
      <x:c r="E198" s="7" t="n">
        <x:f>AVERAGEIFS(Recordings!$G$2:$G$778,Recordings!$A$2:$A$778,A198,Recordings!$D$2:$D$778,B198)</x:f>
        <x:v>0.012406874700472768</x:v>
      </x:c>
      <x:c r="F198" s="5" t="str">
        <x:v>TAALED</x:v>
      </x:c>
      <x:c r="G198" s="5" t="n">
        <x:v>4</x:v>
      </x:c>
    </x:row>
    <x:row r="199">
      <x:c r="A199" s="5" t="str">
        <x:v>P10</x:v>
      </x:c>
      <x:c r="B199" s="5" t="str">
        <x:v>simple_ttr_aw</x:v>
      </x:c>
      <x:c r="C199" s="6" t="n">
        <x:f>AVERAGEIFS(Recordings!$E$2:$E$778,Recordings!$A$2:$A$778,A199,Recordings!$D$2:$D$778,B199)</x:f>
        <x:v>0.4701546626885365</x:v>
      </x:c>
      <x:c r="D199" s="6" t="n">
        <x:f>AVERAGEIFS(Recordings!$F$2:$F$778,Recordings!$A$2:$A$778,A199,Recordings!$D$2:$D$778,B199)</x:f>
        <x:v>0.4671910505745639</x:v>
      </x:c>
      <x:c r="E199" s="7" t="n">
        <x:f>AVERAGEIFS(Recordings!$G$2:$G$778,Recordings!$A$2:$A$778,A199,Recordings!$D$2:$D$778,B199)</x:f>
        <x:v>0.011658434918451189</x:v>
      </x:c>
      <x:c r="F199" s="5" t="str">
        <x:v>TAALED</x:v>
      </x:c>
      <x:c r="G199" s="5" t="n">
        <x:v>4</x:v>
      </x:c>
    </x:row>
    <x:row r="200">
      <x:c r="A200" s="5" t="str">
        <x:v>P10</x:v>
      </x:c>
      <x:c r="B200" s="5" t="str">
        <x:v>root_ttr_aw</x:v>
      </x:c>
      <x:c r="C200" s="6" t="n">
        <x:f>AVERAGEIFS(Recordings!$E$2:$E$778,Recordings!$A$2:$A$778,A200,Recordings!$D$2:$D$778,B200)</x:f>
        <x:v>7.747017006334506</x:v>
      </x:c>
      <x:c r="D200" s="6" t="n">
        <x:f>AVERAGEIFS(Recordings!$F$2:$F$778,Recordings!$A$2:$A$778,A200,Recordings!$D$2:$D$778,B200)</x:f>
        <x:v>7.784331706461682</x:v>
      </x:c>
      <x:c r="E200" s="7" t="n">
        <x:f>AVERAGEIFS(Recordings!$G$2:$G$778,Recordings!$A$2:$A$778,A200,Recordings!$D$2:$D$778,B200)</x:f>
        <x:v>0.011640627721221576</x:v>
      </x:c>
      <x:c r="F200" s="5" t="str">
        <x:v>TAALED</x:v>
      </x:c>
      <x:c r="G200" s="5" t="n">
        <x:v>4</x:v>
      </x:c>
    </x:row>
    <x:row r="201">
      <x:c r="A201" s="5" t="str">
        <x:v>P10</x:v>
      </x:c>
      <x:c r="B201" s="5" t="str">
        <x:v>log_ttr_aw</x:v>
      </x:c>
      <x:c r="C201" s="6" t="n">
        <x:f>AVERAGEIFS(Recordings!$E$2:$E$778,Recordings!$A$2:$A$778,A201,Recordings!$D$2:$D$778,B201)</x:f>
        <x:v>0.8648458524017162</x:v>
      </x:c>
      <x:c r="D201" s="6" t="n">
        <x:f>AVERAGEIFS(Recordings!$F$2:$F$778,Recordings!$A$2:$A$778,A201,Recordings!$D$2:$D$778,B201)</x:f>
        <x:v>0.8643303511797022</x:v>
      </x:c>
      <x:c r="E201" s="7" t="n">
        <x:f>AVERAGEIFS(Recordings!$G$2:$G$778,Recordings!$A$2:$A$778,A201,Recordings!$D$2:$D$778,B201)</x:f>
        <x:v>0.0022446665096788137</x:v>
      </x:c>
      <x:c r="F201" s="5" t="str">
        <x:v>TAALED</x:v>
      </x:c>
      <x:c r="G201" s="5" t="n">
        <x:v>4</x:v>
      </x:c>
    </x:row>
    <x:row r="202">
      <x:c r="A202" s="5" t="str">
        <x:v>P10</x:v>
      </x:c>
      <x:c r="B202" s="5" t="str">
        <x:v>maas_ttr_aw</x:v>
      </x:c>
      <x:c r="C202" s="6" t="n">
        <x:f>AVERAGEIFS(Recordings!$E$2:$E$778,Recordings!$A$2:$A$778,A202,Recordings!$D$2:$D$778,B202)</x:f>
        <x:v>0.05524913751108906</x:v>
      </x:c>
      <x:c r="D202" s="6" t="n">
        <x:f>AVERAGEIFS(Recordings!$F$2:$F$778,Recordings!$A$2:$A$778,A202,Recordings!$D$2:$D$778,B202)</x:f>
        <x:v>0.055265116076079125</x:v>
      </x:c>
      <x:c r="E202" s="7" t="n">
        <x:f>AVERAGEIFS(Recordings!$G$2:$G$778,Recordings!$A$2:$A$778,A202,Recordings!$D$2:$D$778,B202)</x:f>
        <x:v>0.013546414703939231</x:v>
      </x:c>
      <x:c r="F202" s="5" t="str">
        <x:v>TAALED</x:v>
      </x:c>
      <x:c r="G202" s="5" t="n">
        <x:v>4</x:v>
      </x:c>
    </x:row>
    <x:row r="203">
      <x:c r="A203" s="5" t="str">
        <x:v>P10</x:v>
      </x:c>
      <x:c r="B203" s="5" t="str">
        <x:v>mattr50_aw</x:v>
      </x:c>
      <x:c r="C203" s="6" t="n">
        <x:f>AVERAGEIFS(Recordings!$E$2:$E$778,Recordings!$A$2:$A$778,A203,Recordings!$D$2:$D$778,B203)</x:f>
        <x:v>0.731870757808341</x:v>
      </x:c>
      <x:c r="D203" s="6" t="n">
        <x:f>AVERAGEIFS(Recordings!$F$2:$F$778,Recordings!$A$2:$A$778,A203,Recordings!$D$2:$D$778,B203)</x:f>
        <x:v>0.7287026335824582</x:v>
      </x:c>
      <x:c r="E203" s="7" t="n">
        <x:f>AVERAGEIFS(Recordings!$G$2:$G$778,Recordings!$A$2:$A$778,A203,Recordings!$D$2:$D$778,B203)</x:f>
        <x:v>0.004574701754655118</x:v>
      </x:c>
      <x:c r="F203" s="5" t="str">
        <x:v>TAALED</x:v>
      </x:c>
      <x:c r="G203" s="5" t="n">
        <x:v>4</x:v>
      </x:c>
    </x:row>
    <x:row r="204">
      <x:c r="A204" s="5" t="str">
        <x:v>P10</x:v>
      </x:c>
      <x:c r="B204" s="5" t="str">
        <x:v>msttr50_aw</x:v>
      </x:c>
      <x:c r="C204" s="6" t="n">
        <x:f>AVERAGEIFS(Recordings!$E$2:$E$778,Recordings!$A$2:$A$778,A204,Recordings!$D$2:$D$778,B204)</x:f>
        <x:v>0.7329523809523809</x:v>
      </x:c>
      <x:c r="D204" s="6" t="n">
        <x:f>AVERAGEIFS(Recordings!$F$2:$F$778,Recordings!$A$2:$A$778,A204,Recordings!$D$2:$D$778,B204)</x:f>
        <x:v>0.7352142857142857</x:v>
      </x:c>
      <x:c r="E204" s="7" t="n">
        <x:f>AVERAGEIFS(Recordings!$G$2:$G$778,Recordings!$A$2:$A$778,A204,Recordings!$D$2:$D$778,B204)</x:f>
        <x:v>0.01270936448324951</x:v>
      </x:c>
      <x:c r="F204" s="5" t="str">
        <x:v>TAALED</x:v>
      </x:c>
      <x:c r="G204" s="5" t="n">
        <x:v>4</x:v>
      </x:c>
    </x:row>
    <x:row r="205">
      <x:c r="A205" s="5" t="str">
        <x:v>P10</x:v>
      </x:c>
      <x:c r="B205" s="5" t="str">
        <x:v>hdd42_aw</x:v>
      </x:c>
      <x:c r="C205" s="6" t="n">
        <x:f>AVERAGEIFS(Recordings!$E$2:$E$778,Recordings!$A$2:$A$778,A205,Recordings!$D$2:$D$778,B205)</x:f>
        <x:v>0.7947215721911839</x:v>
      </x:c>
      <x:c r="D205" s="6" t="n">
        <x:f>AVERAGEIFS(Recordings!$F$2:$F$778,Recordings!$A$2:$A$778,A205,Recordings!$D$2:$D$778,B205)</x:f>
        <x:v>0.7943961813180183</x:v>
      </x:c>
      <x:c r="E205" s="7" t="n">
        <x:f>AVERAGEIFS(Recordings!$G$2:$G$778,Recordings!$A$2:$A$778,A205,Recordings!$D$2:$D$778,B205)</x:f>
        <x:v>0.0018007521450323035</x:v>
      </x:c>
      <x:c r="F205" s="5" t="str">
        <x:v>TAALED</x:v>
      </x:c>
      <x:c r="G205" s="5" t="n">
        <x:v>4</x:v>
      </x:c>
    </x:row>
    <x:row r="206">
      <x:c r="A206" s="5" t="str">
        <x:v>P10</x:v>
      </x:c>
      <x:c r="B206" s="5" t="str">
        <x:v>mtld_original_aw</x:v>
      </x:c>
      <x:c r="C206" s="6" t="n">
        <x:f>AVERAGEIFS(Recordings!$E$2:$E$778,Recordings!$A$2:$A$778,A206,Recordings!$D$2:$D$778,B206)</x:f>
        <x:v>50.40044732155705</x:v>
      </x:c>
      <x:c r="D206" s="6" t="n">
        <x:f>AVERAGEIFS(Recordings!$F$2:$F$778,Recordings!$A$2:$A$778,A206,Recordings!$D$2:$D$778,B206)</x:f>
        <x:v>50.819293341020796</x:v>
      </x:c>
      <x:c r="E206" s="7" t="n">
        <x:f>AVERAGEIFS(Recordings!$G$2:$G$778,Recordings!$A$2:$A$778,A206,Recordings!$D$2:$D$778,B206)</x:f>
        <x:v>0.03945878519126356</x:v>
      </x:c>
      <x:c r="F206" s="5" t="str">
        <x:v>TAALED</x:v>
      </x:c>
      <x:c r="G206" s="5" t="n">
        <x:v>4</x:v>
      </x:c>
    </x:row>
    <x:row r="207">
      <x:c r="A207" s="5" t="str">
        <x:v>P10</x:v>
      </x:c>
      <x:c r="B207" s="5" t="str">
        <x:v>mtld_mean_factor_length_aw</x:v>
      </x:c>
      <x:c r="C207" s="6" t="n">
        <x:f>AVERAGEIFS(Recordings!$E$2:$E$778,Recordings!$A$2:$A$778,A207,Recordings!$D$2:$D$778,B207)</x:f>
        <x:v>49.58272645502645</x:v>
      </x:c>
      <x:c r="D207" s="6" t="n">
        <x:f>AVERAGEIFS(Recordings!$F$2:$F$778,Recordings!$A$2:$A$778,A207,Recordings!$D$2:$D$778,B207)</x:f>
        <x:v>50.30048901098901</x:v>
      </x:c>
      <x:c r="E207" s="7" t="n">
        <x:f>AVERAGEIFS(Recordings!$G$2:$G$778,Recordings!$A$2:$A$778,A207,Recordings!$D$2:$D$778,B207)</x:f>
        <x:v>0.04657561330002505</x:v>
      </x:c>
      <x:c r="F207" s="5" t="str">
        <x:v>TAALED</x:v>
      </x:c>
      <x:c r="G207" s="5" t="n">
        <x:v>4</x:v>
      </x:c>
    </x:row>
    <x:row r="208">
      <x:c r="A208" s="5" t="str">
        <x:v>P10</x:v>
      </x:c>
      <x:c r="B208" s="5" t="str">
        <x:v>total_utterances</x:v>
      </x:c>
      <x:c r="C208" s="6" t="n">
        <x:f>AVERAGEIFS(Recordings!$E$2:$E$778,Recordings!$A$2:$A$778,A208,Recordings!$D$2:$D$778,B208)</x:f>
        <x:v>46.5</x:v>
      </x:c>
      <x:c r="D208" s="6" t="n">
        <x:f>AVERAGEIFS(Recordings!$F$2:$F$778,Recordings!$A$2:$A$778,A208,Recordings!$D$2:$D$778,B208)</x:f>
        <x:v>47.5</x:v>
      </x:c>
      <x:c r="E208" s="7" t="n">
        <x:f>AVERAGEIFS(Recordings!$G$2:$G$778,Recordings!$A$2:$A$778,A208,Recordings!$D$2:$D$778,B208)</x:f>
        <x:v>0.02353896103896104</x:v>
      </x:c>
      <x:c r="F208" s="5" t="str">
        <x:v>CLAN</x:v>
      </x:c>
      <x:c r="G208" s="5" t="n">
        <x:v>4</x:v>
      </x:c>
    </x:row>
    <x:row r="209">
      <x:c r="A209" s="5" t="str">
        <x:v>P10</x:v>
      </x:c>
      <x:c r="B209" s="5" t="str">
        <x:v>total_words</x:v>
      </x:c>
      <x:c r="C209" s="6" t="n">
        <x:f>AVERAGEIFS(Recordings!$E$2:$E$778,Recordings!$A$2:$A$778,A209,Recordings!$D$2:$D$778,B209)</x:f>
        <x:v>277</x:v>
      </x:c>
      <x:c r="D209" s="6" t="n">
        <x:f>AVERAGEIFS(Recordings!$F$2:$F$778,Recordings!$A$2:$A$778,A209,Recordings!$D$2:$D$778,B209)</x:f>
        <x:v>284.5</x:v>
      </x:c>
      <x:c r="E209" s="7" t="n">
        <x:f>AVERAGEIFS(Recordings!$G$2:$G$778,Recordings!$A$2:$A$778,A209,Recordings!$D$2:$D$778,B209)</x:f>
        <x:v>0.023908683640807032</x:v>
      </x:c>
      <x:c r="F209" s="5" t="str">
        <x:v>CLAN</x:v>
      </x:c>
      <x:c r="G209" s="5" t="n">
        <x:v>4</x:v>
      </x:c>
    </x:row>
    <x:row r="210">
      <x:c r="A210" s="5" t="str">
        <x:v>P10</x:v>
      </x:c>
      <x:c r="B210" s="5" t="str">
        <x:v>mlu_words</x:v>
      </x:c>
      <x:c r="C210" s="6" t="n">
        <x:f>AVERAGEIFS(Recordings!$E$2:$E$778,Recordings!$A$2:$A$778,A210,Recordings!$D$2:$D$778,B210)</x:f>
        <x:v>6.324717829595878</x:v>
      </x:c>
      <x:c r="D210" s="6" t="n">
        <x:f>AVERAGEIFS(Recordings!$F$2:$F$778,Recordings!$A$2:$A$778,A210,Recordings!$D$2:$D$778,B210)</x:f>
        <x:v>6.419499999999999</x:v>
      </x:c>
      <x:c r="E210" s="7" t="n">
        <x:f>AVERAGEIFS(Recordings!$G$2:$G$778,Recordings!$A$2:$A$778,A210,Recordings!$D$2:$D$778,B210)</x:f>
        <x:v>0.0173199787625821</x:v>
      </x:c>
      <x:c r="F210" s="5" t="str">
        <x:v>CLAN</x:v>
      </x:c>
      <x:c r="G210" s="5" t="n">
        <x:v>4</x:v>
      </x:c>
    </x:row>
    <x:row r="211">
      <x:c r="A211" s="5" t="str">
        <x:v>P10</x:v>
      </x:c>
      <x:c r="B211" s="5" t="str">
        <x:v>mlu_words_sd</x:v>
      </x:c>
      <x:c r="C211" s="6" t="n">
        <x:f>AVERAGEIFS(Recordings!$E$2:$E$778,Recordings!$A$2:$A$778,A211,Recordings!$D$2:$D$778,B211)</x:f>
        <x:v>5.789336065016552</x:v>
      </x:c>
      <x:c r="D211" s="6" t="n">
        <x:f>AVERAGEIFS(Recordings!$F$2:$F$778,Recordings!$A$2:$A$778,A211,Recordings!$D$2:$D$778,B211)</x:f>
        <x:v>6.288499999999999</x:v>
      </x:c>
      <x:c r="E211" s="7" t="n">
        <x:f>AVERAGEIFS(Recordings!$G$2:$G$778,Recordings!$A$2:$A$778,A211,Recordings!$D$2:$D$778,B211)</x:f>
        <x:v>0.0714819276489391</x:v>
      </x:c>
      <x:c r="F211" s="5" t="str">
        <x:v>CLAN</x:v>
      </x:c>
      <x:c r="G211" s="5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9.4399995803833" hidden="0" customWidth="1"/>
    <x:col min="2" max="2" width="32.220001220703125" hidden="0" customWidth="1"/>
    <x:col min="3" max="3" width="32.220001220703125" hidden="0" customWidth="1"/>
    <x:col min="4" max="4" width="21.110000610351562" hidden="0" customWidth="1"/>
    <x:col min="5" max="5" width="13.890000343322754" hidden="0" customWidth="1"/>
    <x:col min="6" max="6" width="13.890000343322754" hidden="0" customWidth="1"/>
    <x:col min="7" max="7" width="16.110000610351562" hidden="0" customWidth="1"/>
    <x:col min="8" max="8" width="8.890000343322754" hidden="0" customWidth="1"/>
  </x:cols>
  <x:sheetData>
    <x:row r="1">
      <x:c r="A1" s="4" t="str">
        <x:v>Participant</x:v>
      </x:c>
      <x:c r="B1" s="4" t="str">
        <x:v>Uncorrected transcript</x:v>
      </x:c>
      <x:c r="C1" s="4" t="str">
        <x:v>Corrected transcript</x:v>
      </x:c>
      <x:c r="D1" s="4" t="str">
        <x:v>Metric</x:v>
      </x:c>
      <x:c r="E1" s="4" t="str">
        <x:v>Custom uncorrected</x:v>
      </x:c>
      <x:c r="F1" s="4" t="str">
        <x:v>Corrected reference</x:v>
      </x:c>
      <x:c r="G1" s="4" t="str">
        <x:v>Absolute percentage error</x:v>
      </x:c>
      <x:c r="H1" s="4" t="str">
        <x:v>Reference</x:v>
      </x:c>
    </x:row>
    <x:row r="2">
      <x:c r="A2" s="5" t="str">
        <x:v>P1</x:v>
      </x:c>
      <x:c r="B2" s="5" t="str">
        <x:v>P1_20230420_1_transcription.xlsx</x:v>
      </x:c>
      <x:c r="C2" s="5" t="str">
        <x:v>P1_T1_corrected.txt</x:v>
      </x:c>
      <x:c r="D2" s="5" t="str">
        <x:v>basic_ntokens</x:v>
      </x:c>
      <x:c r="E2" s="6" t="n">
        <x:v>641</x:v>
      </x:c>
      <x:c r="F2" s="6" t="n">
        <x:v>618</x:v>
      </x:c>
      <x:c r="G2" s="7" t="n">
        <x:f>IF(OR(E2="",F2="",F2=0),"",ABS(E2-F2)/ABS(F2))</x:f>
        <x:v>0.0372168284789644</x:v>
      </x:c>
      <x:c r="H2" s="5" t="str">
        <x:v>TAALED</x:v>
      </x:c>
    </x:row>
    <x:row r="3">
      <x:c r="A3" s="5" t="str">
        <x:v>P1</x:v>
      </x:c>
      <x:c r="B3" s="5" t="str">
        <x:v>P1_20230420_1_transcription.xlsx</x:v>
      </x:c>
      <x:c r="C3" s="5" t="str">
        <x:v>P1_T1_corrected.txt</x:v>
      </x:c>
      <x:c r="D3" s="5" t="str">
        <x:v>basic_ntypes</x:v>
      </x:c>
      <x:c r="E3" s="6" t="n">
        <x:v>200</x:v>
      </x:c>
      <x:c r="F3" s="6" t="n">
        <x:v>198</x:v>
      </x:c>
      <x:c r="G3" s="7" t="n">
        <x:f>IF(OR(E3="",F3="",F3=0),"",ABS(E3-F3)/ABS(F3))</x:f>
        <x:v>0.010101010101010102</x:v>
      </x:c>
      <x:c r="H3" s="5" t="str">
        <x:v>TAALED</x:v>
      </x:c>
    </x:row>
    <x:row r="4">
      <x:c r="A4" s="5" t="str">
        <x:v>P1</x:v>
      </x:c>
      <x:c r="B4" s="5" t="str">
        <x:v>P1_20230420_1_transcription.xlsx</x:v>
      </x:c>
      <x:c r="C4" s="5" t="str">
        <x:v>P1_T1_corrected.txt</x:v>
      </x:c>
      <x:c r="D4" s="5" t="str">
        <x:v>basic_ncontent_tokens</x:v>
      </x:c>
      <x:c r="E4" s="6" t="n">
        <x:v>225</x:v>
      </x:c>
      <x:c r="F4" s="6" t="n">
        <x:v>225</x:v>
      </x:c>
      <x:c r="G4" s="7" t="n">
        <x:f>IF(OR(E4="",F4="",F4=0),"",ABS(E4-F4)/ABS(F4))</x:f>
        <x:v>0</x:v>
      </x:c>
      <x:c r="H4" s="5" t="str">
        <x:v>TAALED</x:v>
      </x:c>
    </x:row>
    <x:row r="5">
      <x:c r="A5" s="5" t="str">
        <x:v>P1</x:v>
      </x:c>
      <x:c r="B5" s="5" t="str">
        <x:v>P1_20230420_1_transcription.xlsx</x:v>
      </x:c>
      <x:c r="C5" s="5" t="str">
        <x:v>P1_T1_corrected.txt</x:v>
      </x:c>
      <x:c r="D5" s="5" t="str">
        <x:v>basic_ncontent_types</x:v>
      </x:c>
      <x:c r="E5" s="6" t="n">
        <x:v>117</x:v>
      </x:c>
      <x:c r="F5" s="6" t="n">
        <x:v>115</x:v>
      </x:c>
      <x:c r="G5" s="7" t="n">
        <x:f>IF(OR(E5="",F5="",F5=0),"",ABS(E5-F5)/ABS(F5))</x:f>
        <x:v>0.017391304347826087</x:v>
      </x:c>
      <x:c r="H5" s="5" t="str">
        <x:v>TAALED</x:v>
      </x:c>
    </x:row>
    <x:row r="6">
      <x:c r="A6" s="5" t="str">
        <x:v>P1</x:v>
      </x:c>
      <x:c r="B6" s="5" t="str">
        <x:v>P1_20230420_1_transcription.xlsx</x:v>
      </x:c>
      <x:c r="C6" s="5" t="str">
        <x:v>P1_T1_corrected.txt</x:v>
      </x:c>
      <x:c r="D6" s="5" t="str">
        <x:v>basic_nfunction_tokens</x:v>
      </x:c>
      <x:c r="E6" s="6" t="n">
        <x:v>416</x:v>
      </x:c>
      <x:c r="F6" s="6" t="n">
        <x:v>393</x:v>
      </x:c>
      <x:c r="G6" s="7" t="n">
        <x:f>IF(OR(E6="",F6="",F6=0),"",ABS(E6-F6)/ABS(F6))</x:f>
        <x:v>0.058524173027989825</x:v>
      </x:c>
      <x:c r="H6" s="5" t="str">
        <x:v>TAALED</x:v>
      </x:c>
    </x:row>
    <x:row r="7">
      <x:c r="A7" s="5" t="str">
        <x:v>P1</x:v>
      </x:c>
      <x:c r="B7" s="5" t="str">
        <x:v>P1_20230420_1_transcription.xlsx</x:v>
      </x:c>
      <x:c r="C7" s="5" t="str">
        <x:v>P1_T1_corrected.txt</x:v>
      </x:c>
      <x:c r="D7" s="5" t="str">
        <x:v>basic_nfunction_types</x:v>
      </x:c>
      <x:c r="E7" s="6" t="n">
        <x:v>83</x:v>
      </x:c>
      <x:c r="F7" s="6" t="n">
        <x:v>83</x:v>
      </x:c>
      <x:c r="G7" s="7" t="n">
        <x:f>IF(OR(E7="",F7="",F7=0),"",ABS(E7-F7)/ABS(F7))</x:f>
        <x:v>0</x:v>
      </x:c>
      <x:c r="H7" s="5" t="str">
        <x:v>TAALED</x:v>
      </x:c>
    </x:row>
    <x:row r="8">
      <x:c r="A8" s="5" t="str">
        <x:v>P1</x:v>
      </x:c>
      <x:c r="B8" s="5" t="str">
        <x:v>P1_20230420_1_transcription.xlsx</x:v>
      </x:c>
      <x:c r="C8" s="5" t="str">
        <x:v>P1_T1_corrected.txt</x:v>
      </x:c>
      <x:c r="D8" s="5" t="str">
        <x:v>lexical_density_tokens</x:v>
      </x:c>
      <x:c r="E8" s="6" t="n">
        <x:v>0.35101404056162244</x:v>
      </x:c>
      <x:c r="F8" s="6" t="n">
        <x:v>0.3640776699029126</x:v>
      </x:c>
      <x:c r="G8" s="7" t="n">
        <x:f>IF(OR(E8="",F8="",F8=0),"",ABS(E8-F8)/ABS(F8))</x:f>
        <x:v>0.035881435257410374</x:v>
      </x:c>
      <x:c r="H8" s="5" t="str">
        <x:v>TAALED</x:v>
      </x:c>
    </x:row>
    <x:row r="9">
      <x:c r="A9" s="5" t="str">
        <x:v>P1</x:v>
      </x:c>
      <x:c r="B9" s="5" t="str">
        <x:v>P1_20230420_1_transcription.xlsx</x:v>
      </x:c>
      <x:c r="C9" s="5" t="str">
        <x:v>P1_T1_corrected.txt</x:v>
      </x:c>
      <x:c r="D9" s="5" t="str">
        <x:v>lexical_density_types</x:v>
      </x:c>
      <x:c r="E9" s="6" t="n">
        <x:v>0.585</x:v>
      </x:c>
      <x:c r="F9" s="6" t="n">
        <x:v>0.5808080808080808</x:v>
      </x:c>
      <x:c r="G9" s="7" t="n">
        <x:f>IF(OR(E9="",F9="",F9=0),"",ABS(E9-F9)/ABS(F9))</x:f>
        <x:v>0.007217391304347825</x:v>
      </x:c>
      <x:c r="H9" s="5" t="str">
        <x:v>TAALED</x:v>
      </x:c>
    </x:row>
    <x:row r="10">
      <x:c r="A10" s="5" t="str">
        <x:v>P1</x:v>
      </x:c>
      <x:c r="B10" s="5" t="str">
        <x:v>P1_20230420_1_transcription.xlsx</x:v>
      </x:c>
      <x:c r="C10" s="5" t="str">
        <x:v>P1_T1_corrected.txt</x:v>
      </x:c>
      <x:c r="D10" s="5" t="str">
        <x:v>simple_ttr_aw</x:v>
      </x:c>
      <x:c r="E10" s="6" t="n">
        <x:v>0.31201248049922</x:v>
      </x:c>
      <x:c r="F10" s="6" t="n">
        <x:v>0.32038834951456313</x:v>
      </x:c>
      <x:c r="G10" s="7" t="n">
        <x:f>IF(OR(E10="",F10="",F10=0),"",ABS(E10-F10)/ABS(F10))</x:f>
        <x:v>0.026142863896374078</x:v>
      </x:c>
      <x:c r="H10" s="5" t="str">
        <x:v>TAALED</x:v>
      </x:c>
    </x:row>
    <x:row r="11">
      <x:c r="A11" s="5" t="str">
        <x:v>P1</x:v>
      </x:c>
      <x:c r="B11" s="5" t="str">
        <x:v>P1_20230420_1_transcription.xlsx</x:v>
      </x:c>
      <x:c r="C11" s="5" t="str">
        <x:v>P1_T1_corrected.txt</x:v>
      </x:c>
      <x:c r="D11" s="5" t="str">
        <x:v>root_ttr_aw</x:v>
      </x:c>
      <x:c r="E11" s="6" t="n">
        <x:v>7.899525055333642</x:v>
      </x:c>
      <x:c r="F11" s="6" t="n">
        <x:v>7.964728068420384</x:v>
      </x:c>
      <x:c r="G11" s="7" t="n">
        <x:f>IF(OR(E11="",F11="",F11=0),"",ABS(E11-F11)/ABS(F11))</x:f>
        <x:v>0.008186470715210907</x:v>
      </x:c>
      <x:c r="H11" s="5" t="str">
        <x:v>TAALED</x:v>
      </x:c>
    </x:row>
    <x:row r="12">
      <x:c r="A12" s="5" t="str">
        <x:v>P1</x:v>
      </x:c>
      <x:c r="B12" s="5" t="str">
        <x:v>P1_20230420_1_transcription.xlsx</x:v>
      </x:c>
      <x:c r="C12" s="5" t="str">
        <x:v>P1_T1_corrected.txt</x:v>
      </x:c>
      <x:c r="D12" s="5" t="str">
        <x:v>log_ttr_aw</x:v>
      </x:c>
      <x:c r="E12" s="6" t="n">
        <x:v>0.8197885220644556</x:v>
      </x:c>
      <x:c r="F12" s="6" t="n">
        <x:v>0.8228859455209486</x:v>
      </x:c>
      <x:c r="G12" s="7" t="n">
        <x:f>IF(OR(E12="",F12="",F12=0),"",ABS(E12-F12)/ABS(F12))</x:f>
        <x:v>0.003764098139423315</x:v>
      </x:c>
      <x:c r="H12" s="5" t="str">
        <x:v>TAALED</x:v>
      </x:c>
    </x:row>
    <x:row r="13">
      <x:c r="A13" s="5" t="str">
        <x:v>P1</x:v>
      </x:c>
      <x:c r="B13" s="5" t="str">
        <x:v>P1_20230420_1_transcription.xlsx</x:v>
      </x:c>
      <x:c r="C13" s="5" t="str">
        <x:v>P1_T1_corrected.txt</x:v>
      </x:c>
      <x:c r="D13" s="5" t="str">
        <x:v>maas_ttr_aw</x:v>
      </x:c>
      <x:c r="E13" s="6" t="n">
        <x:v>0.06420398753350495</x:v>
      </x:c>
      <x:c r="F13" s="6" t="n">
        <x:v>0.06345925684032613</x:v>
      </x:c>
      <x:c r="G13" s="7" t="n">
        <x:f>IF(OR(E13="",F13="",F13=0),"",ABS(E13-F13)/ABS(F13))</x:f>
        <x:v>0.011735572243663096</x:v>
      </x:c>
      <x:c r="H13" s="5" t="str">
        <x:v>TAALED</x:v>
      </x:c>
    </x:row>
    <x:row r="14">
      <x:c r="A14" s="5" t="str">
        <x:v>P1</x:v>
      </x:c>
      <x:c r="B14" s="5" t="str">
        <x:v>P1_20230420_1_transcription.xlsx</x:v>
      </x:c>
      <x:c r="C14" s="5" t="str">
        <x:v>P1_T1_corrected.txt</x:v>
      </x:c>
      <x:c r="D14" s="5" t="str">
        <x:v>mattr50_aw</x:v>
      </x:c>
      <x:c r="E14" s="6" t="n">
        <x:v>0.7056418918918919</x:v>
      </x:c>
      <x:c r="F14" s="6" t="n">
        <x:v>0.7060105448154658</x:v>
      </x:c>
      <x:c r="G14" s="7" t="n">
        <x:f>IF(OR(E14="",F14="",F14=0),"",ABS(E14-F14)/ABS(F14))</x:f>
        <x:v>0.000522163480816375</x:v>
      </x:c>
      <x:c r="H14" s="5" t="str">
        <x:v>TAALED</x:v>
      </x:c>
    </x:row>
    <x:row r="15">
      <x:c r="A15" s="5" t="str">
        <x:v>P1</x:v>
      </x:c>
      <x:c r="B15" s="5" t="str">
        <x:v>P1_20230420_1_transcription.xlsx</x:v>
      </x:c>
      <x:c r="C15" s="5" t="str">
        <x:v>P1_T1_corrected.txt</x:v>
      </x:c>
      <x:c r="D15" s="5" t="str">
        <x:v>msttr50_aw</x:v>
      </x:c>
      <x:c r="E15" s="6" t="n">
        <x:v>0.7016666666666667</x:v>
      </x:c>
      <x:c r="F15" s="6" t="n">
        <x:v>0.7000000000000001</x:v>
      </x:c>
      <x:c r="G15" s="7" t="n">
        <x:f>IF(OR(E15="",F15="",F15=0),"",ABS(E15-F15)/ABS(F15))</x:f>
        <x:v>0.002380952380952277</x:v>
      </x:c>
      <x:c r="H15" s="5" t="str">
        <x:v>TAALED</x:v>
      </x:c>
    </x:row>
    <x:row r="16">
      <x:c r="A16" s="5" t="str">
        <x:v>P1</x:v>
      </x:c>
      <x:c r="B16" s="5" t="str">
        <x:v>P1_20230420_1_transcription.xlsx</x:v>
      </x:c>
      <x:c r="C16" s="5" t="str">
        <x:v>P1_T1_corrected.txt</x:v>
      </x:c>
      <x:c r="D16" s="5" t="str">
        <x:v>hdd42_aw</x:v>
      </x:c>
      <x:c r="E16" s="6" t="n">
        <x:v>0.757112894203023</x:v>
      </x:c>
      <x:c r="F16" s="6" t="n">
        <x:v>0.7609783654076892</x:v>
      </x:c>
      <x:c r="G16" s="7" t="n">
        <x:f>IF(OR(E16="",F16="",F16=0),"",ABS(E16-F16)/ABS(F16))</x:f>
        <x:v>0.005079607227197952</x:v>
      </x:c>
      <x:c r="H16" s="5" t="str">
        <x:v>TAALED</x:v>
      </x:c>
    </x:row>
    <x:row r="17">
      <x:c r="A17" s="5" t="str">
        <x:v>P1</x:v>
      </x:c>
      <x:c r="B17" s="5" t="str">
        <x:v>P1_20230420_1_transcription.xlsx</x:v>
      </x:c>
      <x:c r="C17" s="5" t="str">
        <x:v>P1_T1_corrected.txt</x:v>
      </x:c>
      <x:c r="D17" s="5" t="str">
        <x:v>mtld_original_aw</x:v>
      </x:c>
      <x:c r="E17" s="6" t="n">
        <x:v>40.29769799401346</x:v>
      </x:c>
      <x:c r="F17" s="6" t="n">
        <x:v>38.625</x:v>
      </x:c>
      <x:c r="G17" s="7" t="n">
        <x:f>IF(OR(E17="",F17="",F17=0),"",ABS(E17-F17)/ABS(F17))</x:f>
        <x:v>0.04330609693238734</x:v>
      </x:c>
      <x:c r="H17" s="5" t="str">
        <x:v>TAALED</x:v>
      </x:c>
    </x:row>
    <x:row r="18">
      <x:c r="A18" s="5" t="str">
        <x:v>P1</x:v>
      </x:c>
      <x:c r="B18" s="5" t="str">
        <x:v>P1_20230420_1_transcription.xlsx</x:v>
      </x:c>
      <x:c r="C18" s="5" t="str">
        <x:v>P1_T1_corrected.txt</x:v>
      </x:c>
      <x:c r="D18" s="5" t="str">
        <x:v>mtld_mean_factor_length_aw</x:v>
      </x:c>
      <x:c r="E18" s="6" t="n">
        <x:v>39.99888888888889</x:v>
      </x:c>
      <x:c r="F18" s="6" t="n">
        <x:v>38.3125</x:v>
      </x:c>
      <x:c r="G18" s="7" t="n">
        <x:f>IF(OR(E18="",F18="",F18=0),"",ABS(E18-F18)/ABS(F18))</x:f>
        <x:v>0.044016675729563255</x:v>
      </x:c>
      <x:c r="H18" s="5" t="str">
        <x:v>TAALED</x:v>
      </x:c>
    </x:row>
    <x:row r="19">
      <x:c r="A19" s="5" t="str">
        <x:v>P1</x:v>
      </x:c>
      <x:c r="B19" s="5" t="str">
        <x:v>P1_20230420_1_transcription.xlsx</x:v>
      </x:c>
      <x:c r="C19" s="5" t="str">
        <x:v>P1_T1_corrected.txt</x:v>
      </x:c>
      <x:c r="D19" s="5" t="str">
        <x:v>total_utterances</x:v>
      </x:c>
      <x:c r="E19" s="6" t="n">
        <x:v>47</x:v>
      </x:c>
      <x:c r="F19" s="6" t="n">
        <x:v>34</x:v>
      </x:c>
      <x:c r="G19" s="7" t="n">
        <x:f>IF(OR(E19="",F19="",F19=0),"",ABS(E19-F19)/ABS(F19))</x:f>
        <x:v>0.38235294117647056</x:v>
      </x:c>
      <x:c r="H19" s="5" t="str">
        <x:v>CLAN</x:v>
      </x:c>
    </x:row>
    <x:row r="20">
      <x:c r="A20" s="5" t="str">
        <x:v>P1</x:v>
      </x:c>
      <x:c r="B20" s="5" t="str">
        <x:v>P1_20230420_1_transcription.xlsx</x:v>
      </x:c>
      <x:c r="C20" s="5" t="str">
        <x:v>P1_T1_corrected.txt</x:v>
      </x:c>
      <x:c r="D20" s="5" t="str">
        <x:v>total_words</x:v>
      </x:c>
      <x:c r="E20" s="6" t="n">
        <x:v>611</x:v>
      </x:c>
      <x:c r="F20" s="6" t="n">
        <x:v>588</x:v>
      </x:c>
      <x:c r="G20" s="7" t="n">
        <x:f>IF(OR(E20="",F20="",F20=0),"",ABS(E20-F20)/ABS(F20))</x:f>
        <x:v>0.0391156462585034</x:v>
      </x:c>
      <x:c r="H20" s="5" t="str">
        <x:v>CLAN</x:v>
      </x:c>
    </x:row>
    <x:row r="21">
      <x:c r="A21" s="5" t="str">
        <x:v>P1</x:v>
      </x:c>
      <x:c r="B21" s="5" t="str">
        <x:v>P1_20230420_1_transcription.xlsx</x:v>
      </x:c>
      <x:c r="C21" s="5" t="str">
        <x:v>P1_T1_corrected.txt</x:v>
      </x:c>
      <x:c r="D21" s="5" t="str">
        <x:v>mlu_words</x:v>
      </x:c>
      <x:c r="E21" s="6" t="n">
        <x:v>13</x:v>
      </x:c>
      <x:c r="F21" s="6" t="n">
        <x:v>17.294</x:v>
      </x:c>
      <x:c r="G21" s="7" t="n">
        <x:f>IF(OR(E21="",F21="",F21=0),"",ABS(E21-F21)/ABS(F21))</x:f>
        <x:v>0.2482942060830346</x:v>
      </x:c>
      <x:c r="H21" s="5" t="str">
        <x:v>CLAN</x:v>
      </x:c>
    </x:row>
    <x:row r="22">
      <x:c r="A22" s="5" t="str">
        <x:v>P1</x:v>
      </x:c>
      <x:c r="B22" s="5" t="str">
        <x:v>P1_20230420_1_transcription.xlsx</x:v>
      </x:c>
      <x:c r="C22" s="5" t="str">
        <x:v>P1_T1_corrected.txt</x:v>
      </x:c>
      <x:c r="D22" s="5" t="str">
        <x:v>mlu_words_sd</x:v>
      </x:c>
      <x:c r="E22" s="6" t="n">
        <x:v>10.124753740110044</x:v>
      </x:c>
      <x:c r="F22" s="6" t="n">
        <x:v>7.044</x:v>
      </x:c>
      <x:c r="G22" s="7" t="n">
        <x:f>IF(OR(E22="",F22="",F22=0),"",ABS(E22-F22)/ABS(F22))</x:f>
        <x:v>0.43735856617121593</x:v>
      </x:c>
      <x:c r="H22" s="5" t="str">
        <x:v>CLAN</x:v>
      </x:c>
    </x:row>
    <x:row r="23">
      <x:c r="A23" s="5" t="str">
        <x:v>P1</x:v>
      </x:c>
      <x:c r="B23" s="5" t="str">
        <x:v>PXL_20230420_194637673_transcription.xlsx</x:v>
      </x:c>
      <x:c r="C23" s="5" t="str">
        <x:v>P1_T2_corrected.txt</x:v>
      </x:c>
      <x:c r="D23" s="5" t="str">
        <x:v>basic_ntokens</x:v>
      </x:c>
      <x:c r="E23" s="6" t="n">
        <x:v>684</x:v>
      </x:c>
      <x:c r="F23" s="6" t="n">
        <x:v>651</x:v>
      </x:c>
      <x:c r="G23" s="7" t="n">
        <x:f>IF(OR(E23="",F23="",F23=0),"",ABS(E23-F23)/ABS(F23))</x:f>
        <x:v>0.05069124423963134</x:v>
      </x:c>
      <x:c r="H23" s="5" t="str">
        <x:v>TAALED</x:v>
      </x:c>
    </x:row>
    <x:row r="24">
      <x:c r="A24" s="5" t="str">
        <x:v>P1</x:v>
      </x:c>
      <x:c r="B24" s="5" t="str">
        <x:v>PXL_20230420_194637673_transcription.xlsx</x:v>
      </x:c>
      <x:c r="C24" s="5" t="str">
        <x:v>P1_T2_corrected.txt</x:v>
      </x:c>
      <x:c r="D24" s="5" t="str">
        <x:v>basic_ntypes</x:v>
      </x:c>
      <x:c r="E24" s="6" t="n">
        <x:v>204</x:v>
      </x:c>
      <x:c r="F24" s="6" t="n">
        <x:v>201</x:v>
      </x:c>
      <x:c r="G24" s="7" t="n">
        <x:f>IF(OR(E24="",F24="",F24=0),"",ABS(E24-F24)/ABS(F24))</x:f>
        <x:v>0.014925373134328358</x:v>
      </x:c>
      <x:c r="H24" s="5" t="str">
        <x:v>TAALED</x:v>
      </x:c>
    </x:row>
    <x:row r="25">
      <x:c r="A25" s="5" t="str">
        <x:v>P1</x:v>
      </x:c>
      <x:c r="B25" s="5" t="str">
        <x:v>PXL_20230420_194637673_transcription.xlsx</x:v>
      </x:c>
      <x:c r="C25" s="5" t="str">
        <x:v>P1_T2_corrected.txt</x:v>
      </x:c>
      <x:c r="D25" s="5" t="str">
        <x:v>basic_ncontent_tokens</x:v>
      </x:c>
      <x:c r="E25" s="6" t="n">
        <x:v>248</x:v>
      </x:c>
      <x:c r="F25" s="6" t="n">
        <x:v>242</x:v>
      </x:c>
      <x:c r="G25" s="7" t="n">
        <x:f>IF(OR(E25="",F25="",F25=0),"",ABS(E25-F25)/ABS(F25))</x:f>
        <x:v>0.024793388429752067</x:v>
      </x:c>
      <x:c r="H25" s="5" t="str">
        <x:v>TAALED</x:v>
      </x:c>
    </x:row>
    <x:row r="26">
      <x:c r="A26" s="5" t="str">
        <x:v>P1</x:v>
      </x:c>
      <x:c r="B26" s="5" t="str">
        <x:v>PXL_20230420_194637673_transcription.xlsx</x:v>
      </x:c>
      <x:c r="C26" s="5" t="str">
        <x:v>P1_T2_corrected.txt</x:v>
      </x:c>
      <x:c r="D26" s="5" t="str">
        <x:v>basic_ncontent_types</x:v>
      </x:c>
      <x:c r="E26" s="6" t="n">
        <x:v>120</x:v>
      </x:c>
      <x:c r="F26" s="6" t="n">
        <x:v>120</x:v>
      </x:c>
      <x:c r="G26" s="7" t="n">
        <x:f>IF(OR(E26="",F26="",F26=0),"",ABS(E26-F26)/ABS(F26))</x:f>
        <x:v>0</x:v>
      </x:c>
      <x:c r="H26" s="5" t="str">
        <x:v>TAALED</x:v>
      </x:c>
    </x:row>
    <x:row r="27">
      <x:c r="A27" s="5" t="str">
        <x:v>P1</x:v>
      </x:c>
      <x:c r="B27" s="5" t="str">
        <x:v>PXL_20230420_194637673_transcription.xlsx</x:v>
      </x:c>
      <x:c r="C27" s="5" t="str">
        <x:v>P1_T2_corrected.txt</x:v>
      </x:c>
      <x:c r="D27" s="5" t="str">
        <x:v>basic_nfunction_tokens</x:v>
      </x:c>
      <x:c r="E27" s="6" t="n">
        <x:v>436</x:v>
      </x:c>
      <x:c r="F27" s="6" t="n">
        <x:v>409</x:v>
      </x:c>
      <x:c r="G27" s="7" t="n">
        <x:f>IF(OR(E27="",F27="",F27=0),"",ABS(E27-F27)/ABS(F27))</x:f>
        <x:v>0.06601466992665037</x:v>
      </x:c>
      <x:c r="H27" s="5" t="str">
        <x:v>TAALED</x:v>
      </x:c>
    </x:row>
    <x:row r="28">
      <x:c r="A28" s="5" t="str">
        <x:v>P1</x:v>
      </x:c>
      <x:c r="B28" s="5" t="str">
        <x:v>PXL_20230420_194637673_transcription.xlsx</x:v>
      </x:c>
      <x:c r="C28" s="5" t="str">
        <x:v>P1_T2_corrected.txt</x:v>
      </x:c>
      <x:c r="D28" s="5" t="str">
        <x:v>basic_nfunction_types</x:v>
      </x:c>
      <x:c r="E28" s="6" t="n">
        <x:v>84</x:v>
      </x:c>
      <x:c r="F28" s="6" t="n">
        <x:v>81</x:v>
      </x:c>
      <x:c r="G28" s="7" t="n">
        <x:f>IF(OR(E28="",F28="",F28=0),"",ABS(E28-F28)/ABS(F28))</x:f>
        <x:v>0.037037037037037035</x:v>
      </x:c>
      <x:c r="H28" s="5" t="str">
        <x:v>TAALED</x:v>
      </x:c>
    </x:row>
    <x:row r="29">
      <x:c r="A29" s="5" t="str">
        <x:v>P1</x:v>
      </x:c>
      <x:c r="B29" s="5" t="str">
        <x:v>PXL_20230420_194637673_transcription.xlsx</x:v>
      </x:c>
      <x:c r="C29" s="5" t="str">
        <x:v>P1_T2_corrected.txt</x:v>
      </x:c>
      <x:c r="D29" s="5" t="str">
        <x:v>lexical_density_tokens</x:v>
      </x:c>
      <x:c r="E29" s="6" t="n">
        <x:v>0.36257309941520466</x:v>
      </x:c>
      <x:c r="F29" s="6" t="n">
        <x:v>0.3717357910906298</x:v>
      </x:c>
      <x:c r="G29" s="7" t="n">
        <x:f>IF(OR(E29="",F29="",F29=0),"",ABS(E29-F29)/ABS(F29))</x:f>
        <x:v>0.024648397854139584</x:v>
      </x:c>
      <x:c r="H29" s="5" t="str">
        <x:v>TAALED</x:v>
      </x:c>
    </x:row>
    <x:row r="30">
      <x:c r="A30" s="5" t="str">
        <x:v>P1</x:v>
      </x:c>
      <x:c r="B30" s="5" t="str">
        <x:v>PXL_20230420_194637673_transcription.xlsx</x:v>
      </x:c>
      <x:c r="C30" s="5" t="str">
        <x:v>P1_T2_corrected.txt</x:v>
      </x:c>
      <x:c r="D30" s="5" t="str">
        <x:v>lexical_density_types</x:v>
      </x:c>
      <x:c r="E30" s="6" t="n">
        <x:v>0.5882352941176471</x:v>
      </x:c>
      <x:c r="F30" s="6" t="n">
        <x:v>0.5970149253731343</x:v>
      </x:c>
      <x:c r="G30" s="7" t="n">
        <x:f>IF(OR(E30="",F30="",F30=0),"",ABS(E30-F30)/ABS(F30))</x:f>
        <x:v>0.014705882352941057</x:v>
      </x:c>
      <x:c r="H30" s="5" t="str">
        <x:v>TAALED</x:v>
      </x:c>
    </x:row>
    <x:row r="31">
      <x:c r="A31" s="5" t="str">
        <x:v>P1</x:v>
      </x:c>
      <x:c r="B31" s="5" t="str">
        <x:v>PXL_20230420_194637673_transcription.xlsx</x:v>
      </x:c>
      <x:c r="C31" s="5" t="str">
        <x:v>P1_T2_corrected.txt</x:v>
      </x:c>
      <x:c r="D31" s="5" t="str">
        <x:v>simple_ttr_aw</x:v>
      </x:c>
      <x:c r="E31" s="6" t="n">
        <x:v>0.2982456140350877</x:v>
      </x:c>
      <x:c r="F31" s="6" t="n">
        <x:v>0.3087557603686636</x:v>
      </x:c>
      <x:c r="G31" s="7" t="n">
        <x:f>IF(OR(E31="",F31="",F31=0),"",ABS(E31-F31)/ABS(F31))</x:f>
        <x:v>0.03404032469232787</x:v>
      </x:c>
      <x:c r="H31" s="5" t="str">
        <x:v>TAALED</x:v>
      </x:c>
    </x:row>
    <x:row r="32">
      <x:c r="A32" s="5" t="str">
        <x:v>P1</x:v>
      </x:c>
      <x:c r="B32" s="5" t="str">
        <x:v>PXL_20230420_194637673_transcription.xlsx</x:v>
      </x:c>
      <x:c r="C32" s="5" t="str">
        <x:v>P1_T2_corrected.txt</x:v>
      </x:c>
      <x:c r="D32" s="5" t="str">
        <x:v>root_ttr_aw</x:v>
      </x:c>
      <x:c r="E32" s="6" t="n">
        <x:v>7.8001349515991</x:v>
      </x:c>
      <x:c r="F32" s="6" t="n">
        <x:v>7.877811106779686</x:v>
      </x:c>
      <x:c r="G32" s="7" t="n">
        <x:f>IF(OR(E32="",F32="",F32=0),"",ABS(E32-F32)/ABS(F32))</x:f>
        <x:v>0.00986011902643077</x:v>
      </x:c>
      <x:c r="H32" s="5" t="str">
        <x:v>TAALED</x:v>
      </x:c>
    </x:row>
    <x:row r="33">
      <x:c r="A33" s="5" t="str">
        <x:v>P1</x:v>
      </x:c>
      <x:c r="B33" s="5" t="str">
        <x:v>PXL_20230420_194637673_transcription.xlsx</x:v>
      </x:c>
      <x:c r="C33" s="5" t="str">
        <x:v>P1_T2_corrected.txt</x:v>
      </x:c>
      <x:c r="D33" s="5" t="str">
        <x:v>log_ttr_aw</x:v>
      </x:c>
      <x:c r="E33" s="6" t="n">
        <x:v>0.8146682409651699</x:v>
      </x:c>
      <x:c r="F33" s="6" t="n">
        <x:v>0.8185995238020735</x:v>
      </x:c>
      <x:c r="G33" s="7" t="n">
        <x:f>IF(OR(E33="",F33="",F33=0),"",ABS(E33-F33)/ABS(F33))</x:f>
        <x:v>0.004802449454947538</x:v>
      </x:c>
      <x:c r="H33" s="5" t="str">
        <x:v>TAALED</x:v>
      </x:c>
    </x:row>
    <x:row r="34">
      <x:c r="A34" s="5" t="str">
        <x:v>P1</x:v>
      </x:c>
      <x:c r="B34" s="5" t="str">
        <x:v>PXL_20230420_194637673_transcription.xlsx</x:v>
      </x:c>
      <x:c r="C34" s="5" t="str">
        <x:v>P1_T2_corrected.txt</x:v>
      </x:c>
      <x:c r="D34" s="5" t="str">
        <x:v>maas_ttr_aw</x:v>
      </x:c>
      <x:c r="E34" s="6" t="n">
        <x:v>0.06537146087598888</x:v>
      </x:c>
      <x:c r="F34" s="6" t="n">
        <x:v>0.06447316673483772</x:v>
      </x:c>
      <x:c r="G34" s="7" t="n">
        <x:f>IF(OR(E34="",F34="",F34=0),"",ABS(E34-F34)/ABS(F34))</x:f>
        <x:v>0.01393283728168078</x:v>
      </x:c>
      <x:c r="H34" s="5" t="str">
        <x:v>TAALED</x:v>
      </x:c>
    </x:row>
    <x:row r="35">
      <x:c r="A35" s="5" t="str">
        <x:v>P1</x:v>
      </x:c>
      <x:c r="B35" s="5" t="str">
        <x:v>PXL_20230420_194637673_transcription.xlsx</x:v>
      </x:c>
      <x:c r="C35" s="5" t="str">
        <x:v>P1_T2_corrected.txt</x:v>
      </x:c>
      <x:c r="D35" s="5" t="str">
        <x:v>mattr50_aw</x:v>
      </x:c>
      <x:c r="E35" s="6" t="n">
        <x:v>0.676724409448819</x:v>
      </x:c>
      <x:c r="F35" s="6" t="n">
        <x:v>0.6737541528239203</x:v>
      </x:c>
      <x:c r="G35" s="7" t="n">
        <x:f>IF(OR(E35="",F35="",F35=0),"",ABS(E35-F35)/ABS(F35))</x:f>
        <x:v>0.004408516982714529</x:v>
      </x:c>
      <x:c r="H35" s="5" t="str">
        <x:v>TAALED</x:v>
      </x:c>
    </x:row>
    <x:row r="36">
      <x:c r="A36" s="5" t="str">
        <x:v>P1</x:v>
      </x:c>
      <x:c r="B36" s="5" t="str">
        <x:v>PXL_20230420_194637673_transcription.xlsx</x:v>
      </x:c>
      <x:c r="C36" s="5" t="str">
        <x:v>P1_T2_corrected.txt</x:v>
      </x:c>
      <x:c r="D36" s="5" t="str">
        <x:v>msttr50_aw</x:v>
      </x:c>
      <x:c r="E36" s="6" t="n">
        <x:v>0.6738461538461539</x:v>
      </x:c>
      <x:c r="F36" s="6" t="n">
        <x:v>0.6676923076923077</x:v>
      </x:c>
      <x:c r="G36" s="7" t="n">
        <x:f>IF(OR(E36="",F36="",F36=0),"",ABS(E36-F36)/ABS(F36))</x:f>
        <x:v>0.009216589861751185</x:v>
      </x:c>
      <x:c r="H36" s="5" t="str">
        <x:v>TAALED</x:v>
      </x:c>
    </x:row>
    <x:row r="37">
      <x:c r="A37" s="5" t="str">
        <x:v>P1</x:v>
      </x:c>
      <x:c r="B37" s="5" t="str">
        <x:v>PXL_20230420_194637673_transcription.xlsx</x:v>
      </x:c>
      <x:c r="C37" s="5" t="str">
        <x:v>P1_T2_corrected.txt</x:v>
      </x:c>
      <x:c r="D37" s="5" t="str">
        <x:v>hdd42_aw</x:v>
      </x:c>
      <x:c r="E37" s="6" t="n">
        <x:v>0.7604145935848834</x:v>
      </x:c>
      <x:c r="F37" s="6" t="n">
        <x:v>0.7540846392387925</x:v>
      </x:c>
      <x:c r="G37" s="7" t="n">
        <x:f>IF(OR(E37="",F37="",F37=0),"",ABS(E37-F37)/ABS(F37))</x:f>
        <x:v>0.008394222633258508</x:v>
      </x:c>
      <x:c r="H37" s="5" t="str">
        <x:v>TAALED</x:v>
      </x:c>
    </x:row>
    <x:row r="38">
      <x:c r="A38" s="5" t="str">
        <x:v>P1</x:v>
      </x:c>
      <x:c r="B38" s="5" t="str">
        <x:v>PXL_20230420_194637673_transcription.xlsx</x:v>
      </x:c>
      <x:c r="C38" s="5" t="str">
        <x:v>P1_T2_corrected.txt</x:v>
      </x:c>
      <x:c r="D38" s="5" t="str">
        <x:v>mtld_original_aw</x:v>
      </x:c>
      <x:c r="E38" s="6" t="n">
        <x:v>33.44433067711347</x:v>
      </x:c>
      <x:c r="F38" s="6" t="n">
        <x:v>33.0251800545527</x:v>
      </x:c>
      <x:c r="G38" s="7" t="n">
        <x:f>IF(OR(E38="",F38="",F38=0),"",ABS(E38-F38)/ABS(F38))</x:f>
        <x:v>0.012691849730066465</x:v>
      </x:c>
      <x:c r="H38" s="5" t="str">
        <x:v>TAALED</x:v>
      </x:c>
    </x:row>
    <x:row r="39">
      <x:c r="A39" s="5" t="str">
        <x:v>P1</x:v>
      </x:c>
      <x:c r="B39" s="5" t="str">
        <x:v>PXL_20230420_194637673_transcription.xlsx</x:v>
      </x:c>
      <x:c r="C39" s="5" t="str">
        <x:v>P1_T2_corrected.txt</x:v>
      </x:c>
      <x:c r="D39" s="5" t="str">
        <x:v>mtld_mean_factor_length_aw</x:v>
      </x:c>
      <x:c r="E39" s="6" t="n">
        <x:v>33.2850406504065</x:v>
      </x:c>
      <x:c r="F39" s="6" t="n">
        <x:v>32.73266666666667</x:v>
      </x:c>
      <x:c r="G39" s="7" t="n">
        <x:f>IF(OR(E39="",F39="",F39=0),"",ABS(E39-F39)/ABS(F39))</x:f>
        <x:v>0.016875312646077327</x:v>
      </x:c>
      <x:c r="H39" s="5" t="str">
        <x:v>TAALED</x:v>
      </x:c>
    </x:row>
    <x:row r="40">
      <x:c r="A40" s="5" t="str">
        <x:v>P1</x:v>
      </x:c>
      <x:c r="B40" s="5" t="str">
        <x:v>PXL_20230420_194637673_transcription.xlsx</x:v>
      </x:c>
      <x:c r="C40" s="5" t="str">
        <x:v>P1_T2_corrected.txt</x:v>
      </x:c>
      <x:c r="D40" s="5" t="str">
        <x:v>total_utterances</x:v>
      </x:c>
      <x:c r="E40" s="6" t="n">
        <x:v>34</x:v>
      </x:c>
      <x:c r="F40" s="6" t="n">
        <x:v>36</x:v>
      </x:c>
      <x:c r="G40" s="7" t="n">
        <x:f>IF(OR(E40="",F40="",F40=0),"",ABS(E40-F40)/ABS(F40))</x:f>
        <x:v>0.05555555555555555</x:v>
      </x:c>
      <x:c r="H40" s="5" t="str">
        <x:v>CLAN</x:v>
      </x:c>
    </x:row>
    <x:row r="41">
      <x:c r="A41" s="5" t="str">
        <x:v>P1</x:v>
      </x:c>
      <x:c r="B41" s="5" t="str">
        <x:v>PXL_20230420_194637673_transcription.xlsx</x:v>
      </x:c>
      <x:c r="C41" s="5" t="str">
        <x:v>P1_T2_corrected.txt</x:v>
      </x:c>
      <x:c r="D41" s="5" t="str">
        <x:v>total_words</x:v>
      </x:c>
      <x:c r="E41" s="6" t="n">
        <x:v>640</x:v>
      </x:c>
      <x:c r="F41" s="6" t="n">
        <x:v>611</x:v>
      </x:c>
      <x:c r="G41" s="7" t="n">
        <x:f>IF(OR(E41="",F41="",F41=0),"",ABS(E41-F41)/ABS(F41))</x:f>
        <x:v>0.04746317512274959</x:v>
      </x:c>
      <x:c r="H41" s="5" t="str">
        <x:v>CLAN</x:v>
      </x:c>
    </x:row>
    <x:row r="42">
      <x:c r="A42" s="5" t="str">
        <x:v>P1</x:v>
      </x:c>
      <x:c r="B42" s="5" t="str">
        <x:v>PXL_20230420_194637673_transcription.xlsx</x:v>
      </x:c>
      <x:c r="C42" s="5" t="str">
        <x:v>P1_T2_corrected.txt</x:v>
      </x:c>
      <x:c r="D42" s="5" t="str">
        <x:v>mlu_words</x:v>
      </x:c>
      <x:c r="E42" s="6" t="n">
        <x:v>18.823529411764707</x:v>
      </x:c>
      <x:c r="F42" s="6" t="n">
        <x:v>16.972</x:v>
      </x:c>
      <x:c r="G42" s="7" t="n">
        <x:f>IF(OR(E42="",F42="",F42=0),"",ABS(E42-F42)/ABS(F42))</x:f>
        <x:v>0.10909317769059068</x:v>
      </x:c>
      <x:c r="H42" s="5" t="str">
        <x:v>CLAN</x:v>
      </x:c>
    </x:row>
    <x:row r="43">
      <x:c r="A43" s="5" t="str">
        <x:v>P1</x:v>
      </x:c>
      <x:c r="B43" s="5" t="str">
        <x:v>PXL_20230420_194637673_transcription.xlsx</x:v>
      </x:c>
      <x:c r="C43" s="5" t="str">
        <x:v>P1_T2_corrected.txt</x:v>
      </x:c>
      <x:c r="D43" s="5" t="str">
        <x:v>mlu_words_sd</x:v>
      </x:c>
      <x:c r="E43" s="6" t="n">
        <x:v>19.66703809787464</x:v>
      </x:c>
      <x:c r="F43" s="6" t="n">
        <x:v>7.737</x:v>
      </x:c>
      <x:c r="G43" s="7" t="n">
        <x:f>IF(OR(E43="",F43="",F43=0),"",ABS(E43-F43)/ABS(F43))</x:f>
        <x:v>1.5419462450400208</x:v>
      </x:c>
      <x:c r="H43" s="5" t="str">
        <x:v>CLAN</x:v>
      </x:c>
    </x:row>
    <x:row r="44">
      <x:c r="A44" s="5" t="str">
        <x:v>P10</x:v>
      </x:c>
      <x:c r="B44" s="5" t="str">
        <x:v>PXL_20230516_192321553_transcription.xlsx</x:v>
      </x:c>
      <x:c r="C44" s="5" t="str">
        <x:v>PXL_20230516_192321553_transcription_corrected.txt</x:v>
      </x:c>
      <x:c r="D44" s="5" t="str">
        <x:v>basic_ntokens</x:v>
      </x:c>
      <x:c r="E44" s="6" t="n">
        <x:v>305</x:v>
      </x:c>
      <x:c r="F44" s="6" t="n">
        <x:v>320</x:v>
      </x:c>
      <x:c r="G44" s="7" t="n">
        <x:f>IF(OR(E44="",F44="",F44=0),"",ABS(E44-F44)/ABS(F44))</x:f>
        <x:v>0.046875</x:v>
      </x:c>
      <x:c r="H44" s="5" t="str">
        <x:v>TAALED</x:v>
      </x:c>
    </x:row>
    <x:row r="45">
      <x:c r="A45" s="5" t="str">
        <x:v>P10</x:v>
      </x:c>
      <x:c r="B45" s="5" t="str">
        <x:v>PXL_20230516_192321553_transcription.xlsx</x:v>
      </x:c>
      <x:c r="C45" s="5" t="str">
        <x:v>PXL_20230516_192321553_transcription_corrected.txt</x:v>
      </x:c>
      <x:c r="D45" s="5" t="str">
        <x:v>basic_ntypes</x:v>
      </x:c>
      <x:c r="E45" s="6" t="n">
        <x:v>150</x:v>
      </x:c>
      <x:c r="F45" s="6" t="n">
        <x:v>154</x:v>
      </x:c>
      <x:c r="G45" s="7" t="n">
        <x:f>IF(OR(E45="",F45="",F45=0),"",ABS(E45-F45)/ABS(F45))</x:f>
        <x:v>0.025974025974025976</x:v>
      </x:c>
      <x:c r="H45" s="5" t="str">
        <x:v>TAALED</x:v>
      </x:c>
    </x:row>
    <x:row r="46">
      <x:c r="A46" s="5" t="str">
        <x:v>P10</x:v>
      </x:c>
      <x:c r="B46" s="5" t="str">
        <x:v>PXL_20230516_192321553_transcription.xlsx</x:v>
      </x:c>
      <x:c r="C46" s="5" t="str">
        <x:v>PXL_20230516_192321553_transcription_corrected.txt</x:v>
      </x:c>
      <x:c r="D46" s="5" t="str">
        <x:v>basic_ncontent_tokens</x:v>
      </x:c>
      <x:c r="E46" s="6" t="n">
        <x:v>144</x:v>
      </x:c>
      <x:c r="F46" s="6" t="n">
        <x:v>148</x:v>
      </x:c>
      <x:c r="G46" s="7" t="n">
        <x:f>IF(OR(E46="",F46="",F46=0),"",ABS(E46-F46)/ABS(F46))</x:f>
        <x:v>0.02702702702702703</x:v>
      </x:c>
      <x:c r="H46" s="5" t="str">
        <x:v>TAALED</x:v>
      </x:c>
    </x:row>
    <x:row r="47">
      <x:c r="A47" s="5" t="str">
        <x:v>P10</x:v>
      </x:c>
      <x:c r="B47" s="5" t="str">
        <x:v>PXL_20230516_192321553_transcription.xlsx</x:v>
      </x:c>
      <x:c r="C47" s="5" t="str">
        <x:v>PXL_20230516_192321553_transcription_corrected.txt</x:v>
      </x:c>
      <x:c r="D47" s="5" t="str">
        <x:v>basic_ncontent_types</x:v>
      </x:c>
      <x:c r="E47" s="6" t="n">
        <x:v>104</x:v>
      </x:c>
      <x:c r="F47" s="6" t="n">
        <x:v>106</x:v>
      </x:c>
      <x:c r="G47" s="7" t="n">
        <x:f>IF(OR(E47="",F47="",F47=0),"",ABS(E47-F47)/ABS(F47))</x:f>
        <x:v>0.018867924528301886</x:v>
      </x:c>
      <x:c r="H47" s="5" t="str">
        <x:v>TAALED</x:v>
      </x:c>
    </x:row>
    <x:row r="48">
      <x:c r="A48" s="5" t="str">
        <x:v>P10</x:v>
      </x:c>
      <x:c r="B48" s="5" t="str">
        <x:v>PXL_20230516_192321553_transcription.xlsx</x:v>
      </x:c>
      <x:c r="C48" s="5" t="str">
        <x:v>PXL_20230516_192321553_transcription_corrected.txt</x:v>
      </x:c>
      <x:c r="D48" s="5" t="str">
        <x:v>basic_nfunction_tokens</x:v>
      </x:c>
      <x:c r="E48" s="6" t="n">
        <x:v>161</x:v>
      </x:c>
      <x:c r="F48" s="6" t="n">
        <x:v>172</x:v>
      </x:c>
      <x:c r="G48" s="7" t="n">
        <x:f>IF(OR(E48="",F48="",F48=0),"",ABS(E48-F48)/ABS(F48))</x:f>
        <x:v>0.06395348837209303</x:v>
      </x:c>
      <x:c r="H48" s="5" t="str">
        <x:v>TAALED</x:v>
      </x:c>
    </x:row>
    <x:row r="49">
      <x:c r="A49" s="5" t="str">
        <x:v>P10</x:v>
      </x:c>
      <x:c r="B49" s="5" t="str">
        <x:v>PXL_20230516_192321553_transcription.xlsx</x:v>
      </x:c>
      <x:c r="C49" s="5" t="str">
        <x:v>PXL_20230516_192321553_transcription_corrected.txt</x:v>
      </x:c>
      <x:c r="D49" s="5" t="str">
        <x:v>basic_nfunction_types</x:v>
      </x:c>
      <x:c r="E49" s="6" t="n">
        <x:v>46</x:v>
      </x:c>
      <x:c r="F49" s="6" t="n">
        <x:v>48</x:v>
      </x:c>
      <x:c r="G49" s="7" t="n">
        <x:f>IF(OR(E49="",F49="",F49=0),"",ABS(E49-F49)/ABS(F49))</x:f>
        <x:v>0.041666666666666664</x:v>
      </x:c>
      <x:c r="H49" s="5" t="str">
        <x:v>TAALED</x:v>
      </x:c>
    </x:row>
    <x:row r="50">
      <x:c r="A50" s="5" t="str">
        <x:v>P10</x:v>
      </x:c>
      <x:c r="B50" s="5" t="str">
        <x:v>PXL_20230516_192321553_transcription.xlsx</x:v>
      </x:c>
      <x:c r="C50" s="5" t="str">
        <x:v>PXL_20230516_192321553_transcription_corrected.txt</x:v>
      </x:c>
      <x:c r="D50" s="5" t="str">
        <x:v>lexical_density_tokens</x:v>
      </x:c>
      <x:c r="E50" s="6" t="n">
        <x:v>0.4721311475409836</x:v>
      </x:c>
      <x:c r="F50" s="6" t="n">
        <x:v>0.4625</x:v>
      </x:c>
      <x:c r="G50" s="7" t="n">
        <x:f>IF(OR(E50="",F50="",F50=0),"",ABS(E50-F50)/ABS(F50))</x:f>
        <x:v>0.020824102791315885</x:v>
      </x:c>
      <x:c r="H50" s="5" t="str">
        <x:v>TAALED</x:v>
      </x:c>
    </x:row>
    <x:row r="51">
      <x:c r="A51" s="5" t="str">
        <x:v>P10</x:v>
      </x:c>
      <x:c r="B51" s="5" t="str">
        <x:v>PXL_20230516_192321553_transcription.xlsx</x:v>
      </x:c>
      <x:c r="C51" s="5" t="str">
        <x:v>PXL_20230516_192321553_transcription_corrected.txt</x:v>
      </x:c>
      <x:c r="D51" s="5" t="str">
        <x:v>lexical_density_types</x:v>
      </x:c>
      <x:c r="E51" s="6" t="n">
        <x:v>0.6933333333333334</x:v>
      </x:c>
      <x:c r="F51" s="6" t="n">
        <x:v>0.6883116883116883</x:v>
      </x:c>
      <x:c r="G51" s="7" t="n">
        <x:f>IF(OR(E51="",F51="",F51=0),"",ABS(E51-F51)/ABS(F51))</x:f>
        <x:v>0.007295597484276753</x:v>
      </x:c>
      <x:c r="H51" s="5" t="str">
        <x:v>TAALED</x:v>
      </x:c>
    </x:row>
    <x:row r="52">
      <x:c r="A52" s="5" t="str">
        <x:v>P10</x:v>
      </x:c>
      <x:c r="B52" s="5" t="str">
        <x:v>PXL_20230516_192321553_transcription.xlsx</x:v>
      </x:c>
      <x:c r="C52" s="5" t="str">
        <x:v>PXL_20230516_192321553_transcription_corrected.txt</x:v>
      </x:c>
      <x:c r="D52" s="5" t="str">
        <x:v>simple_ttr_aw</x:v>
      </x:c>
      <x:c r="E52" s="6" t="n">
        <x:v>0.4918032786885246</x:v>
      </x:c>
      <x:c r="F52" s="6" t="n">
        <x:v>0.48125</x:v>
      </x:c>
      <x:c r="G52" s="7" t="n">
        <x:f>IF(OR(E52="",F52="",F52=0),"",ABS(E52-F52)/ABS(F52))</x:f>
        <x:v>0.021928890781349755</x:v>
      </x:c>
      <x:c r="H52" s="5" t="str">
        <x:v>TAALED</x:v>
      </x:c>
    </x:row>
    <x:row r="53">
      <x:c r="A53" s="5" t="str">
        <x:v>P10</x:v>
      </x:c>
      <x:c r="B53" s="5" t="str">
        <x:v>PXL_20230516_192321553_transcription.xlsx</x:v>
      </x:c>
      <x:c r="C53" s="5" t="str">
        <x:v>PXL_20230516_192321553_transcription_corrected.txt</x:v>
      </x:c>
      <x:c r="D53" s="5" t="str">
        <x:v>root_ttr_aw</x:v>
      </x:c>
      <x:c r="E53" s="6" t="n">
        <x:v>8.588975014708025</x:v>
      </x:c>
      <x:c r="F53" s="6" t="n">
        <x:v>8.60886171337419</x:v>
      </x:c>
      <x:c r="G53" s="7" t="n">
        <x:f>IF(OR(E53="",F53="",F53=0),"",ABS(E53-F53)/ABS(F53))</x:f>
        <x:v>0.002310026496914199</x:v>
      </x:c>
      <x:c r="H53" s="5" t="str">
        <x:v>TAALED</x:v>
      </x:c>
    </x:row>
    <x:row r="54">
      <x:c r="A54" s="5" t="str">
        <x:v>P10</x:v>
      </x:c>
      <x:c r="B54" s="5" t="str">
        <x:v>PXL_20230516_192321553_transcription.xlsx</x:v>
      </x:c>
      <x:c r="C54" s="5" t="str">
        <x:v>PXL_20230516_192321553_transcription_corrected.txt</x:v>
      </x:c>
      <x:c r="D54" s="5" t="str">
        <x:v>log_ttr_aw</x:v>
      </x:c>
      <x:c r="E54" s="6" t="n">
        <x:v>0.8759374470787938</x:v>
      </x:c>
      <x:c r="F54" s="6" t="n">
        <x:v>0.87320948436929</x:v>
      </x:c>
      <x:c r="G54" s="7" t="n">
        <x:f>IF(OR(E54="",F54="",F54=0),"",ABS(E54-F54)/ABS(F54))</x:f>
        <x:v>0.003124064452270804</x:v>
      </x:c>
      <x:c r="H54" s="5" t="str">
        <x:v>TAALED</x:v>
      </x:c>
    </x:row>
    <x:row r="55">
      <x:c r="A55" s="5" t="str">
        <x:v>P10</x:v>
      </x:c>
      <x:c r="B55" s="5" t="str">
        <x:v>PXL_20230516_192321553_transcription.xlsx</x:v>
      </x:c>
      <x:c r="C55" s="5" t="str">
        <x:v>PXL_20230516_192321553_transcription_corrected.txt</x:v>
      </x:c>
      <x:c r="D55" s="5" t="str">
        <x:v>maas_ttr_aw</x:v>
      </x:c>
      <x:c r="E55" s="6" t="n">
        <x:v>0.049938639030716506</x:v>
      </x:c>
      <x:c r="F55" s="6" t="n">
        <x:v>0.05061194608226322</x:v>
      </x:c>
      <x:c r="G55" s="7" t="n">
        <x:f>IF(OR(E55="",F55="",F55=0),"",ABS(E55-F55)/ABS(F55))</x:f>
        <x:v>0.013303322706705293</x:v>
      </x:c>
      <x:c r="H55" s="5" t="str">
        <x:v>TAALED</x:v>
      </x:c>
    </x:row>
    <x:row r="56">
      <x:c r="A56" s="5" t="str">
        <x:v>P10</x:v>
      </x:c>
      <x:c r="B56" s="5" t="str">
        <x:v>PXL_20230516_192321553_transcription.xlsx</x:v>
      </x:c>
      <x:c r="C56" s="5" t="str">
        <x:v>PXL_20230516_192321553_transcription_corrected.txt</x:v>
      </x:c>
      <x:c r="D56" s="5" t="str">
        <x:v>mattr50_aw</x:v>
      </x:c>
      <x:c r="E56" s="6" t="n">
        <x:v>0.765</x:v>
      </x:c>
      <x:c r="F56" s="6" t="n">
        <x:v>0.765239852398524</x:v>
      </x:c>
      <x:c r="G56" s="7" t="n">
        <x:f>IF(OR(E56="",F56="",F56=0),"",ABS(E56-F56)/ABS(F56))</x:f>
        <x:v>0.0003134342752435028</x:v>
      </x:c>
      <x:c r="H56" s="5" t="str">
        <x:v>TAALED</x:v>
      </x:c>
    </x:row>
    <x:row r="57">
      <x:c r="A57" s="5" t="str">
        <x:v>P10</x:v>
      </x:c>
      <x:c r="B57" s="5" t="str">
        <x:v>PXL_20230516_192321553_transcription.xlsx</x:v>
      </x:c>
      <x:c r="C57" s="5" t="str">
        <x:v>PXL_20230516_192321553_transcription_corrected.txt</x:v>
      </x:c>
      <x:c r="D57" s="5" t="str">
        <x:v>msttr50_aw</x:v>
      </x:c>
      <x:c r="E57" s="6" t="n">
        <x:v>0.76</x:v>
      </x:c>
      <x:c r="F57" s="6" t="n">
        <x:v>0.7766666666666667</x:v>
      </x:c>
      <x:c r="G57" s="7" t="n">
        <x:f>IF(OR(E57="",F57="",F57=0),"",ABS(E57-F57)/ABS(F57))</x:f>
        <x:v>0.021459227467811225</x:v>
      </x:c>
      <x:c r="H57" s="5" t="str">
        <x:v>TAALED</x:v>
      </x:c>
    </x:row>
    <x:row r="58">
      <x:c r="A58" s="5" t="str">
        <x:v>P10</x:v>
      </x:c>
      <x:c r="B58" s="5" t="str">
        <x:v>PXL_20230516_192321553_transcription.xlsx</x:v>
      </x:c>
      <x:c r="C58" s="5" t="str">
        <x:v>PXL_20230516_192321553_transcription_corrected.txt</x:v>
      </x:c>
      <x:c r="D58" s="5" t="str">
        <x:v>hdd42_aw</x:v>
      </x:c>
      <x:c r="E58" s="6" t="n">
        <x:v>0.7966084639425833</x:v>
      </x:c>
      <x:c r="F58" s="6" t="n">
        <x:v>0.7978549861797548</x:v>
      </x:c>
      <x:c r="G58" s="7" t="n">
        <x:f>IF(OR(E58="",F58="",F58=0),"",ABS(E58-F58)/ABS(F58))</x:f>
        <x:v>0.0015623418525464205</x:v>
      </x:c>
      <x:c r="H58" s="5" t="str">
        <x:v>TAALED</x:v>
      </x:c>
    </x:row>
    <x:row r="59">
      <x:c r="A59" s="5" t="str">
        <x:v>P10</x:v>
      </x:c>
      <x:c r="B59" s="5" t="str">
        <x:v>PXL_20230516_192321553_transcription.xlsx</x:v>
      </x:c>
      <x:c r="C59" s="5" t="str">
        <x:v>PXL_20230516_192321553_transcription_corrected.txt</x:v>
      </x:c>
      <x:c r="D59" s="5" t="str">
        <x:v>mtld_original_aw</x:v>
      </x:c>
      <x:c r="E59" s="6" t="n">
        <x:v>66.51194691955087</x:v>
      </x:c>
      <x:c r="F59" s="6" t="n">
        <x:v>68.51807073172586</x:v>
      </x:c>
      <x:c r="G59" s="7" t="n">
        <x:f>IF(OR(E59="",F59="",F59=0),"",ABS(E59-F59)/ABS(F59))</x:f>
        <x:v>0.029278755089729887</x:v>
      </x:c>
      <x:c r="H59" s="5" t="str">
        <x:v>TAALED</x:v>
      </x:c>
    </x:row>
    <x:row r="60">
      <x:c r="A60" s="5" t="str">
        <x:v>P10</x:v>
      </x:c>
      <x:c r="B60" s="5" t="str">
        <x:v>PXL_20230516_192321553_transcription.xlsx</x:v>
      </x:c>
      <x:c r="C60" s="5" t="str">
        <x:v>PXL_20230516_192321553_transcription_corrected.txt</x:v>
      </x:c>
      <x:c r="D60" s="5" t="str">
        <x:v>mtld_mean_factor_length_aw</x:v>
      </x:c>
      <x:c r="E60" s="6" t="n">
        <x:v>65.63146666666667</x:v>
      </x:c>
      <x:c r="F60" s="6" t="n">
        <x:v>69.13538461538461</x:v>
      </x:c>
      <x:c r="G60" s="7" t="n">
        <x:f>IF(OR(E60="",F60="",F60=0),"",ABS(E60-F60)/ABS(F60))</x:f>
        <x:v>0.05068197664930931</x:v>
      </x:c>
      <x:c r="H60" s="5" t="str">
        <x:v>TAALED</x:v>
      </x:c>
    </x:row>
    <x:row r="61">
      <x:c r="A61" s="5" t="str">
        <x:v>P10</x:v>
      </x:c>
      <x:c r="B61" s="5" t="str">
        <x:v>PXL_20230516_192321553_transcription.xlsx</x:v>
      </x:c>
      <x:c r="C61" s="5" t="str">
        <x:v>PXL_20230516_192321553_transcription_corrected.txt</x:v>
      </x:c>
      <x:c r="D61" s="5" t="str">
        <x:v>total_utterances</x:v>
      </x:c>
      <x:c r="E61" s="6" t="n">
        <x:v>65</x:v>
      </x:c>
      <x:c r="F61" s="6" t="n">
        <x:v>70</x:v>
      </x:c>
      <x:c r="G61" s="7" t="n">
        <x:f>IF(OR(E61="",F61="",F61=0),"",ABS(E61-F61)/ABS(F61))</x:f>
        <x:v>0.07142857142857142</x:v>
      </x:c>
      <x:c r="H61" s="5" t="str">
        <x:v>CLAN</x:v>
      </x:c>
    </x:row>
    <x:row r="62">
      <x:c r="A62" s="5" t="str">
        <x:v>P10</x:v>
      </x:c>
      <x:c r="B62" s="5" t="str">
        <x:v>PXL_20230516_192321553_transcription.xlsx</x:v>
      </x:c>
      <x:c r="C62" s="5" t="str">
        <x:v>PXL_20230516_192321553_transcription_corrected.txt</x:v>
      </x:c>
      <x:c r="D62" s="5" t="str">
        <x:v>total_words</x:v>
      </x:c>
      <x:c r="E62" s="6" t="n">
        <x:v>296</x:v>
      </x:c>
      <x:c r="F62" s="6" t="n">
        <x:v>315</x:v>
      </x:c>
      <x:c r="G62" s="7" t="n">
        <x:f>IF(OR(E62="",F62="",F62=0),"",ABS(E62-F62)/ABS(F62))</x:f>
        <x:v>0.06031746031746032</x:v>
      </x:c>
      <x:c r="H62" s="5" t="str">
        <x:v>CLAN</x:v>
      </x:c>
    </x:row>
    <x:row r="63">
      <x:c r="A63" s="5" t="str">
        <x:v>P10</x:v>
      </x:c>
      <x:c r="B63" s="5" t="str">
        <x:v>PXL_20230516_192321553_transcription.xlsx</x:v>
      </x:c>
      <x:c r="C63" s="5" t="str">
        <x:v>PXL_20230516_192321553_transcription_corrected.txt</x:v>
      </x:c>
      <x:c r="D63" s="5" t="str">
        <x:v>mlu_words</x:v>
      </x:c>
      <x:c r="E63" s="6" t="n">
        <x:v>4.553846153846154</x:v>
      </x:c>
      <x:c r="F63" s="6" t="n">
        <x:v>4.5</x:v>
      </x:c>
      <x:c r="G63" s="7" t="n">
        <x:f>IF(OR(E63="",F63="",F63=0),"",ABS(E63-F63)/ABS(F63))</x:f>
        <x:v>0.011965811965811923</x:v>
      </x:c>
      <x:c r="H63" s="5" t="str">
        <x:v>CLAN</x:v>
      </x:c>
    </x:row>
    <x:row r="64">
      <x:c r="A64" s="5" t="str">
        <x:v>P10</x:v>
      </x:c>
      <x:c r="B64" s="5" t="str">
        <x:v>PXL_20230516_192321553_transcription.xlsx</x:v>
      </x:c>
      <x:c r="C64" s="5" t="str">
        <x:v>PXL_20230516_192321553_transcription_corrected.txt</x:v>
      </x:c>
      <x:c r="D64" s="5" t="str">
        <x:v>mlu_words_sd</x:v>
      </x:c>
      <x:c r="E64" s="6" t="n">
        <x:v>5.068851392363937</x:v>
      </x:c>
      <x:c r="F64" s="6" t="n">
        <x:v>5.129</x:v>
      </x:c>
      <x:c r="G64" s="7" t="n">
        <x:f>IF(OR(E64="",F64="",F64=0),"",ABS(E64-F64)/ABS(F64))</x:f>
        <x:v>0.011727160779111373</x:v>
      </x:c>
      <x:c r="H64" s="5" t="str">
        <x:v>CLAN</x:v>
      </x:c>
    </x:row>
    <x:row r="65">
      <x:c r="A65" s="5" t="str">
        <x:v>P10</x:v>
      </x:c>
      <x:c r="B65" s="5" t="str">
        <x:v>PXL_20230516_193208326_transcription.xlsx</x:v>
      </x:c>
      <x:c r="C65" s="5" t="str">
        <x:v>PXL_20230516_193208326_transcription_corrected.txt</x:v>
      </x:c>
      <x:c r="D65" s="5" t="str">
        <x:v>basic_ntokens</x:v>
      </x:c>
      <x:c r="E65" s="6" t="n">
        <x:v>295</x:v>
      </x:c>
      <x:c r="F65" s="6" t="n">
        <x:v>294</x:v>
      </x:c>
      <x:c r="G65" s="7" t="n">
        <x:f>IF(OR(E65="",F65="",F65=0),"",ABS(E65-F65)/ABS(F65))</x:f>
        <x:v>0.003401360544217687</x:v>
      </x:c>
      <x:c r="H65" s="5" t="str">
        <x:v>TAALED</x:v>
      </x:c>
    </x:row>
    <x:row r="66">
      <x:c r="A66" s="5" t="str">
        <x:v>P10</x:v>
      </x:c>
      <x:c r="B66" s="5" t="str">
        <x:v>PXL_20230516_193208326_transcription.xlsx</x:v>
      </x:c>
      <x:c r="C66" s="5" t="str">
        <x:v>PXL_20230516_193208326_transcription_corrected.txt</x:v>
      </x:c>
      <x:c r="D66" s="5" t="str">
        <x:v>basic_ntypes</x:v>
      </x:c>
      <x:c r="E66" s="6" t="n">
        <x:v>133</x:v>
      </x:c>
      <x:c r="F66" s="6" t="n">
        <x:v>131</x:v>
      </x:c>
      <x:c r="G66" s="7" t="n">
        <x:f>IF(OR(E66="",F66="",F66=0),"",ABS(E66-F66)/ABS(F66))</x:f>
        <x:v>0.015267175572519083</x:v>
      </x:c>
      <x:c r="H66" s="5" t="str">
        <x:v>TAALED</x:v>
      </x:c>
    </x:row>
    <x:row r="67">
      <x:c r="A67" s="5" t="str">
        <x:v>P10</x:v>
      </x:c>
      <x:c r="B67" s="5" t="str">
        <x:v>PXL_20230516_193208326_transcription.xlsx</x:v>
      </x:c>
      <x:c r="C67" s="5" t="str">
        <x:v>PXL_20230516_193208326_transcription_corrected.txt</x:v>
      </x:c>
      <x:c r="D67" s="5" t="str">
        <x:v>basic_ncontent_tokens</x:v>
      </x:c>
      <x:c r="E67" s="6" t="n">
        <x:v>124</x:v>
      </x:c>
      <x:c r="F67" s="6" t="n">
        <x:v>122</x:v>
      </x:c>
      <x:c r="G67" s="7" t="n">
        <x:f>IF(OR(E67="",F67="",F67=0),"",ABS(E67-F67)/ABS(F67))</x:f>
        <x:v>0.01639344262295082</x:v>
      </x:c>
      <x:c r="H67" s="5" t="str">
        <x:v>TAALED</x:v>
      </x:c>
    </x:row>
    <x:row r="68">
      <x:c r="A68" s="5" t="str">
        <x:v>P10</x:v>
      </x:c>
      <x:c r="B68" s="5" t="str">
        <x:v>PXL_20230516_193208326_transcription.xlsx</x:v>
      </x:c>
      <x:c r="C68" s="5" t="str">
        <x:v>PXL_20230516_193208326_transcription_corrected.txt</x:v>
      </x:c>
      <x:c r="D68" s="5" t="str">
        <x:v>basic_ncontent_types</x:v>
      </x:c>
      <x:c r="E68" s="6" t="n">
        <x:v>82</x:v>
      </x:c>
      <x:c r="F68" s="6" t="n">
        <x:v>80</x:v>
      </x:c>
      <x:c r="G68" s="7" t="n">
        <x:f>IF(OR(E68="",F68="",F68=0),"",ABS(E68-F68)/ABS(F68))</x:f>
        <x:v>0.025</x:v>
      </x:c>
      <x:c r="H68" s="5" t="str">
        <x:v>TAALED</x:v>
      </x:c>
    </x:row>
    <x:row r="69">
      <x:c r="A69" s="5" t="str">
        <x:v>P10</x:v>
      </x:c>
      <x:c r="B69" s="5" t="str">
        <x:v>PXL_20230516_193208326_transcription.xlsx</x:v>
      </x:c>
      <x:c r="C69" s="5" t="str">
        <x:v>PXL_20230516_193208326_transcription_corrected.txt</x:v>
      </x:c>
      <x:c r="D69" s="5" t="str">
        <x:v>basic_nfunction_tokens</x:v>
      </x:c>
      <x:c r="E69" s="6" t="n">
        <x:v>171</x:v>
      </x:c>
      <x:c r="F69" s="6" t="n">
        <x:v>172</x:v>
      </x:c>
      <x:c r="G69" s="7" t="n">
        <x:f>IF(OR(E69="",F69="",F69=0),"",ABS(E69-F69)/ABS(F69))</x:f>
        <x:v>0.005813953488372093</x:v>
      </x:c>
      <x:c r="H69" s="5" t="str">
        <x:v>TAALED</x:v>
      </x:c>
    </x:row>
    <x:row r="70">
      <x:c r="A70" s="5" t="str">
        <x:v>P10</x:v>
      </x:c>
      <x:c r="B70" s="5" t="str">
        <x:v>PXL_20230516_193208326_transcription.xlsx</x:v>
      </x:c>
      <x:c r="C70" s="5" t="str">
        <x:v>PXL_20230516_193208326_transcription_corrected.txt</x:v>
      </x:c>
      <x:c r="D70" s="5" t="str">
        <x:v>basic_nfunction_types</x:v>
      </x:c>
      <x:c r="E70" s="6" t="n">
        <x:v>51</x:v>
      </x:c>
      <x:c r="F70" s="6" t="n">
        <x:v>51</x:v>
      </x:c>
      <x:c r="G70" s="7" t="n">
        <x:f>IF(OR(E70="",F70="",F70=0),"",ABS(E70-F70)/ABS(F70))</x:f>
        <x:v>0</x:v>
      </x:c>
      <x:c r="H70" s="5" t="str">
        <x:v>TAALED</x:v>
      </x:c>
    </x:row>
    <x:row r="71">
      <x:c r="A71" s="5" t="str">
        <x:v>P10</x:v>
      </x:c>
      <x:c r="B71" s="5" t="str">
        <x:v>PXL_20230516_193208326_transcription.xlsx</x:v>
      </x:c>
      <x:c r="C71" s="5" t="str">
        <x:v>PXL_20230516_193208326_transcription_corrected.txt</x:v>
      </x:c>
      <x:c r="D71" s="5" t="str">
        <x:v>lexical_density_tokens</x:v>
      </x:c>
      <x:c r="E71" s="6" t="n">
        <x:v>0.42033898305084744</x:v>
      </x:c>
      <x:c r="F71" s="6" t="n">
        <x:v>0.41496598639455784</x:v>
      </x:c>
      <x:c r="G71" s="7" t="n">
        <x:f>IF(OR(E71="",F71="",F71=0),"",ABS(E71-F71)/ABS(F71))</x:f>
        <x:v>0.012948041122533947</x:v>
      </x:c>
      <x:c r="H71" s="5" t="str">
        <x:v>TAALED</x:v>
      </x:c>
    </x:row>
    <x:row r="72">
      <x:c r="A72" s="5" t="str">
        <x:v>P10</x:v>
      </x:c>
      <x:c r="B72" s="5" t="str">
        <x:v>PXL_20230516_193208326_transcription.xlsx</x:v>
      </x:c>
      <x:c r="C72" s="5" t="str">
        <x:v>PXL_20230516_193208326_transcription_corrected.txt</x:v>
      </x:c>
      <x:c r="D72" s="5" t="str">
        <x:v>lexical_density_types</x:v>
      </x:c>
      <x:c r="E72" s="6" t="n">
        <x:v>0.6165413533834586</x:v>
      </x:c>
      <x:c r="F72" s="6" t="n">
        <x:v>0.6106870229007634</x:v>
      </x:c>
      <x:c r="G72" s="7" t="n">
        <x:f>IF(OR(E72="",F72="",F72=0),"",ABS(E72-F72)/ABS(F72))</x:f>
        <x:v>0.009586466165413449</x:v>
      </x:c>
      <x:c r="H72" s="5" t="str">
        <x:v>TAALED</x:v>
      </x:c>
    </x:row>
    <x:row r="73">
      <x:c r="A73" s="5" t="str">
        <x:v>P10</x:v>
      </x:c>
      <x:c r="B73" s="5" t="str">
        <x:v>PXL_20230516_193208326_transcription.xlsx</x:v>
      </x:c>
      <x:c r="C73" s="5" t="str">
        <x:v>PXL_20230516_193208326_transcription_corrected.txt</x:v>
      </x:c>
      <x:c r="D73" s="5" t="str">
        <x:v>simple_ttr_aw</x:v>
      </x:c>
      <x:c r="E73" s="6" t="n">
        <x:v>0.45084745762711864</x:v>
      </x:c>
      <x:c r="F73" s="6" t="n">
        <x:v>0.445578231292517</x:v>
      </x:c>
      <x:c r="G73" s="7" t="n">
        <x:f>IF(OR(E73="",F73="",F73=0),"",ABS(E73-F73)/ABS(F73))</x:f>
        <x:v>0.01182559192651055</x:v>
      </x:c>
      <x:c r="H73" s="5" t="str">
        <x:v>TAALED</x:v>
      </x:c>
    </x:row>
    <x:row r="74">
      <x:c r="A74" s="5" t="str">
        <x:v>P10</x:v>
      </x:c>
      <x:c r="B74" s="5" t="str">
        <x:v>PXL_20230516_193208326_transcription.xlsx</x:v>
      </x:c>
      <x:c r="C74" s="5" t="str">
        <x:v>PXL_20230516_193208326_transcription_corrected.txt</x:v>
      </x:c>
      <x:c r="D74" s="5" t="str">
        <x:v>root_ttr_aw</x:v>
      </x:c>
      <x:c r="E74" s="6" t="n">
        <x:v>7.743559379536441</x:v>
      </x:c>
      <x:c r="F74" s="6" t="n">
        <x:v>7.6400751501094355</x:v>
      </x:c>
      <x:c r="G74" s="7" t="n">
        <x:f>IF(OR(E74="",F74="",F74=0),"",ABS(E74-F74)/ABS(F74))</x:f>
        <x:v>0.013544922974419041</x:v>
      </x:c>
      <x:c r="H74" s="5" t="str">
        <x:v>TAALED</x:v>
      </x:c>
    </x:row>
    <x:row r="75">
      <x:c r="A75" s="5" t="str">
        <x:v>P10</x:v>
      </x:c>
      <x:c r="B75" s="5" t="str">
        <x:v>PXL_20230516_193208326_transcription.xlsx</x:v>
      </x:c>
      <x:c r="C75" s="5" t="str">
        <x:v>PXL_20230516_193208326_transcription_corrected.txt</x:v>
      </x:c>
      <x:c r="D75" s="5" t="str">
        <x:v>log_ttr_aw</x:v>
      </x:c>
      <x:c r="E75" s="6" t="n">
        <x:v>0.8599209284017751</x:v>
      </x:c>
      <x:c r="F75" s="6" t="n">
        <x:v>0.8577687870621631</x:v>
      </x:c>
      <x:c r="G75" s="7" t="n">
        <x:f>IF(OR(E75="",F75="",F75=0),"",ABS(E75-F75)/ABS(F75))</x:f>
        <x:v>0.0025089993621510618</x:v>
      </x:c>
      <x:c r="H75" s="5" t="str">
        <x:v>TAALED</x:v>
      </x:c>
    </x:row>
    <x:row r="76">
      <x:c r="A76" s="5" t="str">
        <x:v>P10</x:v>
      </x:c>
      <x:c r="B76" s="5" t="str">
        <x:v>PXL_20230516_193208326_transcription.xlsx</x:v>
      </x:c>
      <x:c r="C76" s="5" t="str">
        <x:v>PXL_20230516_193208326_transcription_corrected.txt</x:v>
      </x:c>
      <x:c r="D76" s="5" t="str">
        <x:v>maas_ttr_aw</x:v>
      </x:c>
      <x:c r="E76" s="6" t="n">
        <x:v>0.05671626161399615</x:v>
      </x:c>
      <x:c r="F76" s="6" t="n">
        <x:v>0.05762204175458871</x:v>
      </x:c>
      <x:c r="G76" s="7" t="n">
        <x:f>IF(OR(E76="",F76="",F76=0),"",ABS(E76-F76)/ABS(F76))</x:f>
        <x:v>0.015719334355597157</x:v>
      </x:c>
      <x:c r="H76" s="5" t="str">
        <x:v>TAALED</x:v>
      </x:c>
    </x:row>
    <x:row r="77">
      <x:c r="A77" s="5" t="str">
        <x:v>P10</x:v>
      </x:c>
      <x:c r="B77" s="5" t="str">
        <x:v>PXL_20230516_193208326_transcription.xlsx</x:v>
      </x:c>
      <x:c r="C77" s="5" t="str">
        <x:v>PXL_20230516_193208326_transcription_corrected.txt</x:v>
      </x:c>
      <x:c r="D77" s="5" t="str">
        <x:v>mattr50_aw</x:v>
      </x:c>
      <x:c r="E77" s="6" t="n">
        <x:v>0.7164227642276423</x:v>
      </x:c>
      <x:c r="F77" s="6" t="n">
        <x:v>0.7122448979591837</x:v>
      </x:c>
      <x:c r="G77" s="7" t="n">
        <x:f>IF(OR(E77="",F77="",F77=0),"",ABS(E77-F77)/ABS(F77))</x:f>
        <x:v>0.005865772124769981</x:v>
      </x:c>
      <x:c r="H77" s="5" t="str">
        <x:v>TAALED</x:v>
      </x:c>
    </x:row>
    <x:row r="78">
      <x:c r="A78" s="5" t="str">
        <x:v>P10</x:v>
      </x:c>
      <x:c r="B78" s="5" t="str">
        <x:v>PXL_20230516_193208326_transcription.xlsx</x:v>
      </x:c>
      <x:c r="C78" s="5" t="str">
        <x:v>PXL_20230516_193208326_transcription_corrected.txt</x:v>
      </x:c>
      <x:c r="D78" s="5" t="str">
        <x:v>msttr50_aw</x:v>
      </x:c>
      <x:c r="E78" s="6" t="n">
        <x:v>0.748</x:v>
      </x:c>
      <x:c r="F78" s="6" t="n">
        <x:v>0.748</x:v>
      </x:c>
      <x:c r="G78" s="7" t="n">
        <x:f>IF(OR(E78="",F78="",F78=0),"",ABS(E78-F78)/ABS(F78))</x:f>
        <x:v>0</x:v>
      </x:c>
      <x:c r="H78" s="5" t="str">
        <x:v>TAALED</x:v>
      </x:c>
    </x:row>
    <x:row r="79">
      <x:c r="A79" s="5" t="str">
        <x:v>P10</x:v>
      </x:c>
      <x:c r="B79" s="5" t="str">
        <x:v>PXL_20230516_193208326_transcription.xlsx</x:v>
      </x:c>
      <x:c r="C79" s="5" t="str">
        <x:v>PXL_20230516_193208326_transcription_corrected.txt</x:v>
      </x:c>
      <x:c r="D79" s="5" t="str">
        <x:v>hdd42_aw</x:v>
      </x:c>
      <x:c r="E79" s="6" t="n">
        <x:v>0.7869100822120568</x:v>
      </x:c>
      <x:c r="F79" s="6" t="n">
        <x:v>0.7844463526581288</x:v>
      </x:c>
      <x:c r="G79" s="7" t="n">
        <x:f>IF(OR(E79="",F79="",F79=0),"",ABS(E79-F79)/ABS(F79))</x:f>
        <x:v>0.00314072408594876</x:v>
      </x:c>
      <x:c r="H79" s="5" t="str">
        <x:v>TAALED</x:v>
      </x:c>
    </x:row>
    <x:row r="80">
      <x:c r="A80" s="5" t="str">
        <x:v>P10</x:v>
      </x:c>
      <x:c r="B80" s="5" t="str">
        <x:v>PXL_20230516_193208326_transcription.xlsx</x:v>
      </x:c>
      <x:c r="C80" s="5" t="str">
        <x:v>PXL_20230516_193208326_transcription_corrected.txt</x:v>
      </x:c>
      <x:c r="D80" s="5" t="str">
        <x:v>mtld_original_aw</x:v>
      </x:c>
      <x:c r="E80" s="6" t="n">
        <x:v>40.52510771272774</x:v>
      </x:c>
      <x:c r="F80" s="6" t="n">
        <x:v>42.43117045700579</x:v>
      </x:c>
      <x:c r="G80" s="7" t="n">
        <x:f>IF(OR(E80="",F80="",F80=0),"",ABS(E80-F80)/ABS(F80))</x:f>
        <x:v>0.044921286020365804</x:v>
      </x:c>
      <x:c r="H80" s="5" t="str">
        <x:v>TAALED</x:v>
      </x:c>
    </x:row>
    <x:row r="81">
      <x:c r="A81" s="5" t="str">
        <x:v>P10</x:v>
      </x:c>
      <x:c r="B81" s="5" t="str">
        <x:v>PXL_20230516_193208326_transcription.xlsx</x:v>
      </x:c>
      <x:c r="C81" s="5" t="str">
        <x:v>PXL_20230516_193208326_transcription_corrected.txt</x:v>
      </x:c>
      <x:c r="D81" s="5" t="str">
        <x:v>mtld_mean_factor_length_aw</x:v>
      </x:c>
      <x:c r="E81" s="6" t="n">
        <x:v>40.85674074074074</x:v>
      </x:c>
      <x:c r="F81" s="6" t="n">
        <x:v>42.784</x:v>
      </x:c>
      <x:c r="G81" s="7" t="n">
        <x:f>IF(OR(E81="",F81="",F81=0),"",ABS(E81-F81)/ABS(F81))</x:f>
        <x:v>0.04504626166929831</x:v>
      </x:c>
      <x:c r="H81" s="5" t="str">
        <x:v>TAALED</x:v>
      </x:c>
    </x:row>
    <x:row r="82">
      <x:c r="A82" s="5" t="str">
        <x:v>P10</x:v>
      </x:c>
      <x:c r="B82" s="5" t="str">
        <x:v>PXL_20230516_193208326_transcription.xlsx</x:v>
      </x:c>
      <x:c r="C82" s="5" t="str">
        <x:v>PXL_20230516_193208326_transcription_corrected.txt</x:v>
      </x:c>
      <x:c r="D82" s="5" t="str">
        <x:v>total_utterances</x:v>
      </x:c>
      <x:c r="E82" s="6" t="n">
        <x:v>45</x:v>
      </x:c>
      <x:c r="F82" s="6" t="n">
        <x:v>44</x:v>
      </x:c>
      <x:c r="G82" s="7" t="n">
        <x:f>IF(OR(E82="",F82="",F82=0),"",ABS(E82-F82)/ABS(F82))</x:f>
        <x:v>0.022727272727272728</x:v>
      </x:c>
      <x:c r="H82" s="5" t="str">
        <x:v>CLAN</x:v>
      </x:c>
    </x:row>
    <x:row r="83">
      <x:c r="A83" s="5" t="str">
        <x:v>P10</x:v>
      </x:c>
      <x:c r="B83" s="5" t="str">
        <x:v>PXL_20230516_193208326_transcription.xlsx</x:v>
      </x:c>
      <x:c r="C83" s="5" t="str">
        <x:v>PXL_20230516_193208326_transcription_corrected.txt</x:v>
      </x:c>
      <x:c r="D83" s="5" t="str">
        <x:v>total_words</x:v>
      </x:c>
      <x:c r="E83" s="6" t="n">
        <x:v>278</x:v>
      </x:c>
      <x:c r="F83" s="6" t="n">
        <x:v>281</x:v>
      </x:c>
      <x:c r="G83" s="7" t="n">
        <x:f>IF(OR(E83="",F83="",F83=0),"",ABS(E83-F83)/ABS(F83))</x:f>
        <x:v>0.010676156583629894</x:v>
      </x:c>
      <x:c r="H83" s="5" t="str">
        <x:v>CLAN</x:v>
      </x:c>
    </x:row>
    <x:row r="84">
      <x:c r="A84" s="5" t="str">
        <x:v>P10</x:v>
      </x:c>
      <x:c r="B84" s="5" t="str">
        <x:v>PXL_20230516_193208326_transcription.xlsx</x:v>
      </x:c>
      <x:c r="C84" s="5" t="str">
        <x:v>PXL_20230516_193208326_transcription_corrected.txt</x:v>
      </x:c>
      <x:c r="D84" s="5" t="str">
        <x:v>mlu_words</x:v>
      </x:c>
      <x:c r="E84" s="6" t="n">
        <x:v>6.177777777777778</x:v>
      </x:c>
      <x:c r="F84" s="6" t="n">
        <x:v>6.386</x:v>
      </x:c>
      <x:c r="G84" s="7" t="n">
        <x:f>IF(OR(E84="",F84="",F84=0),"",ABS(E84-F84)/ABS(F84))</x:f>
        <x:v>0.03260604795211746</x:v>
      </x:c>
      <x:c r="H84" s="5" t="str">
        <x:v>CLAN</x:v>
      </x:c>
    </x:row>
    <x:row r="85">
      <x:c r="A85" s="5" t="str">
        <x:v>P10</x:v>
      </x:c>
      <x:c r="B85" s="5" t="str">
        <x:v>PXL_20230516_193208326_transcription.xlsx</x:v>
      </x:c>
      <x:c r="C85" s="5" t="str">
        <x:v>PXL_20230516_193208326_transcription_corrected.txt</x:v>
      </x:c>
      <x:c r="D85" s="5" t="str">
        <x:v>mlu_words_sd</x:v>
      </x:c>
      <x:c r="E85" s="6" t="n">
        <x:v>5.338701002590586</x:v>
      </x:c>
      <x:c r="F85" s="6" t="n">
        <x:v>6.35</x:v>
      </x:c>
      <x:c r="G85" s="7" t="n">
        <x:f>IF(OR(E85="",F85="",F85=0),"",ABS(E85-F85)/ABS(F85))</x:f>
        <x:v>0.15925968463140375</x:v>
      </x:c>
      <x:c r="H85" s="5" t="str">
        <x:v>CLAN</x:v>
      </x:c>
    </x:row>
    <x:row r="86">
      <x:c r="A86" s="5" t="str">
        <x:v>P10</x:v>
      </x:c>
      <x:c r="B86" s="5" t="str">
        <x:v>PXL_20230516_194059468_transcription.xlsx</x:v>
      </x:c>
      <x:c r="C86" s="5" t="str">
        <x:v>PXL_20230516_194059468_transcription_corrected.txt</x:v>
      </x:c>
      <x:c r="D86" s="5" t="str">
        <x:v>basic_ntokens</x:v>
      </x:c>
      <x:c r="E86" s="6" t="n">
        <x:v>170</x:v>
      </x:c>
      <x:c r="F86" s="6" t="n">
        <x:v>172</x:v>
      </x:c>
      <x:c r="G86" s="7" t="n">
        <x:f>IF(OR(E86="",F86="",F86=0),"",ABS(E86-F86)/ABS(F86))</x:f>
        <x:v>0.011627906976744186</x:v>
      </x:c>
      <x:c r="H86" s="5" t="str">
        <x:v>TAALED</x:v>
      </x:c>
    </x:row>
    <x:row r="87">
      <x:c r="A87" s="5" t="str">
        <x:v>P10</x:v>
      </x:c>
      <x:c r="B87" s="5" t="str">
        <x:v>PXL_20230516_194059468_transcription.xlsx</x:v>
      </x:c>
      <x:c r="C87" s="5" t="str">
        <x:v>PXL_20230516_194059468_transcription_corrected.txt</x:v>
      </x:c>
      <x:c r="D87" s="5" t="str">
        <x:v>basic_ntypes</x:v>
      </x:c>
      <x:c r="E87" s="6" t="n">
        <x:v>94</x:v>
      </x:c>
      <x:c r="F87" s="6" t="n">
        <x:v>95</x:v>
      </x:c>
      <x:c r="G87" s="7" t="n">
        <x:f>IF(OR(E87="",F87="",F87=0),"",ABS(E87-F87)/ABS(F87))</x:f>
        <x:v>0.010526315789473684</x:v>
      </x:c>
      <x:c r="H87" s="5" t="str">
        <x:v>TAALED</x:v>
      </x:c>
    </x:row>
    <x:row r="88">
      <x:c r="A88" s="5" t="str">
        <x:v>P10</x:v>
      </x:c>
      <x:c r="B88" s="5" t="str">
        <x:v>PXL_20230516_194059468_transcription.xlsx</x:v>
      </x:c>
      <x:c r="C88" s="5" t="str">
        <x:v>PXL_20230516_194059468_transcription_corrected.txt</x:v>
      </x:c>
      <x:c r="D88" s="5" t="str">
        <x:v>basic_ncontent_tokens</x:v>
      </x:c>
      <x:c r="E88" s="6" t="n">
        <x:v>75</x:v>
      </x:c>
      <x:c r="F88" s="6" t="n">
        <x:v>77</x:v>
      </x:c>
      <x:c r="G88" s="7" t="n">
        <x:f>IF(OR(E88="",F88="",F88=0),"",ABS(E88-F88)/ABS(F88))</x:f>
        <x:v>0.025974025974025976</x:v>
      </x:c>
      <x:c r="H88" s="5" t="str">
        <x:v>TAALED</x:v>
      </x:c>
    </x:row>
    <x:row r="89">
      <x:c r="A89" s="5" t="str">
        <x:v>P10</x:v>
      </x:c>
      <x:c r="B89" s="5" t="str">
        <x:v>PXL_20230516_194059468_transcription.xlsx</x:v>
      </x:c>
      <x:c r="C89" s="5" t="str">
        <x:v>PXL_20230516_194059468_transcription_corrected.txt</x:v>
      </x:c>
      <x:c r="D89" s="5" t="str">
        <x:v>basic_ncontent_types</x:v>
      </x:c>
      <x:c r="E89" s="6" t="n">
        <x:v>56</x:v>
      </x:c>
      <x:c r="F89" s="6" t="n">
        <x:v>58</x:v>
      </x:c>
      <x:c r="G89" s="7" t="n">
        <x:f>IF(OR(E89="",F89="",F89=0),"",ABS(E89-F89)/ABS(F89))</x:f>
        <x:v>0.034482758620689655</x:v>
      </x:c>
      <x:c r="H89" s="5" t="str">
        <x:v>TAALED</x:v>
      </x:c>
    </x:row>
    <x:row r="90">
      <x:c r="A90" s="5" t="str">
        <x:v>P10</x:v>
      </x:c>
      <x:c r="B90" s="5" t="str">
        <x:v>PXL_20230516_194059468_transcription.xlsx</x:v>
      </x:c>
      <x:c r="C90" s="5" t="str">
        <x:v>PXL_20230516_194059468_transcription_corrected.txt</x:v>
      </x:c>
      <x:c r="D90" s="5" t="str">
        <x:v>basic_nfunction_tokens</x:v>
      </x:c>
      <x:c r="E90" s="6" t="n">
        <x:v>95</x:v>
      </x:c>
      <x:c r="F90" s="6" t="n">
        <x:v>95</x:v>
      </x:c>
      <x:c r="G90" s="7" t="n">
        <x:f>IF(OR(E90="",F90="",F90=0),"",ABS(E90-F90)/ABS(F90))</x:f>
        <x:v>0</x:v>
      </x:c>
      <x:c r="H90" s="5" t="str">
        <x:v>TAALED</x:v>
      </x:c>
    </x:row>
    <x:row r="91">
      <x:c r="A91" s="5" t="str">
        <x:v>P10</x:v>
      </x:c>
      <x:c r="B91" s="5" t="str">
        <x:v>PXL_20230516_194059468_transcription.xlsx</x:v>
      </x:c>
      <x:c r="C91" s="5" t="str">
        <x:v>PXL_20230516_194059468_transcription_corrected.txt</x:v>
      </x:c>
      <x:c r="D91" s="5" t="str">
        <x:v>basic_nfunction_types</x:v>
      </x:c>
      <x:c r="E91" s="6" t="n">
        <x:v>38</x:v>
      </x:c>
      <x:c r="F91" s="6" t="n">
        <x:v>37</x:v>
      </x:c>
      <x:c r="G91" s="7" t="n">
        <x:f>IF(OR(E91="",F91="",F91=0),"",ABS(E91-F91)/ABS(F91))</x:f>
        <x:v>0.02702702702702703</x:v>
      </x:c>
      <x:c r="H91" s="5" t="str">
        <x:v>TAALED</x:v>
      </x:c>
    </x:row>
    <x:row r="92">
      <x:c r="A92" s="5" t="str">
        <x:v>P10</x:v>
      </x:c>
      <x:c r="B92" s="5" t="str">
        <x:v>PXL_20230516_194059468_transcription.xlsx</x:v>
      </x:c>
      <x:c r="C92" s="5" t="str">
        <x:v>PXL_20230516_194059468_transcription_corrected.txt</x:v>
      </x:c>
      <x:c r="D92" s="5" t="str">
        <x:v>lexical_density_tokens</x:v>
      </x:c>
      <x:c r="E92" s="6" t="n">
        <x:v>0.4411764705882353</x:v>
      </x:c>
      <x:c r="F92" s="6" t="n">
        <x:v>0.4476744186046512</x:v>
      </x:c>
      <x:c r="G92" s="7" t="n">
        <x:f>IF(OR(E92="",F92="",F92=0),"",ABS(E92-F92)/ABS(F92))</x:f>
        <x:v>0.014514896867838113</x:v>
      </x:c>
      <x:c r="H92" s="5" t="str">
        <x:v>TAALED</x:v>
      </x:c>
    </x:row>
    <x:row r="93">
      <x:c r="A93" s="5" t="str">
        <x:v>P10</x:v>
      </x:c>
      <x:c r="B93" s="5" t="str">
        <x:v>PXL_20230516_194059468_transcription.xlsx</x:v>
      </x:c>
      <x:c r="C93" s="5" t="str">
        <x:v>PXL_20230516_194059468_transcription_corrected.txt</x:v>
      </x:c>
      <x:c r="D93" s="5" t="str">
        <x:v>lexical_density_types</x:v>
      </x:c>
      <x:c r="E93" s="6" t="n">
        <x:v>0.5957446808510638</x:v>
      </x:c>
      <x:c r="F93" s="6" t="n">
        <x:v>0.6105263157894737</x:v>
      </x:c>
      <x:c r="G93" s="7" t="n">
        <x:f>IF(OR(E93="",F93="",F93=0),"",ABS(E93-F93)/ABS(F93))</x:f>
        <x:v>0.024211298606016205</x:v>
      </x:c>
      <x:c r="H93" s="5" t="str">
        <x:v>TAALED</x:v>
      </x:c>
    </x:row>
    <x:row r="94">
      <x:c r="A94" s="5" t="str">
        <x:v>P10</x:v>
      </x:c>
      <x:c r="B94" s="5" t="str">
        <x:v>PXL_20230516_194059468_transcription.xlsx</x:v>
      </x:c>
      <x:c r="C94" s="5" t="str">
        <x:v>PXL_20230516_194059468_transcription_corrected.txt</x:v>
      </x:c>
      <x:c r="D94" s="5" t="str">
        <x:v>simple_ttr_aw</x:v>
      </x:c>
      <x:c r="E94" s="6" t="n">
        <x:v>0.5529411764705883</x:v>
      </x:c>
      <x:c r="F94" s="6" t="n">
        <x:v>0.5523255813953488</x:v>
      </x:c>
      <x:c r="G94" s="7" t="n">
        <x:f>IF(OR(E94="",F94="",F94=0),"",ABS(E94-F94)/ABS(F94))</x:f>
        <x:v>0.0011145510835914255</x:v>
      </x:c>
      <x:c r="H94" s="5" t="str">
        <x:v>TAALED</x:v>
      </x:c>
    </x:row>
    <x:row r="95">
      <x:c r="A95" s="5" t="str">
        <x:v>P10</x:v>
      </x:c>
      <x:c r="B95" s="5" t="str">
        <x:v>PXL_20230516_194059468_transcription.xlsx</x:v>
      </x:c>
      <x:c r="C95" s="5" t="str">
        <x:v>PXL_20230516_194059468_transcription_corrected.txt</x:v>
      </x:c>
      <x:c r="D95" s="5" t="str">
        <x:v>root_ttr_aw</x:v>
      </x:c>
      <x:c r="E95" s="6" t="n">
        <x:v>7.209470895165282</x:v>
      </x:c>
      <x:c r="F95" s="6" t="n">
        <x:v>7.243682090798722</x:v>
      </x:c>
      <x:c r="G95" s="7" t="n">
        <x:f>IF(OR(E95="",F95="",F95=0),"",ABS(E95-F95)/ABS(F95))</x:f>
        <x:v>0.004722901309666369</x:v>
      </x:c>
      <x:c r="H95" s="5" t="str">
        <x:v>TAALED</x:v>
      </x:c>
    </x:row>
    <x:row r="96">
      <x:c r="A96" s="5" t="str">
        <x:v>P10</x:v>
      </x:c>
      <x:c r="B96" s="5" t="str">
        <x:v>PXL_20230516_194059468_transcription.xlsx</x:v>
      </x:c>
      <x:c r="C96" s="5" t="str">
        <x:v>PXL_20230516_194059468_transcription_corrected.txt</x:v>
      </x:c>
      <x:c r="D96" s="5" t="str">
        <x:v>log_ttr_aw</x:v>
      </x:c>
      <x:c r="E96" s="6" t="n">
        <x:v>0.8846326112594555</x:v>
      </x:c>
      <x:c r="F96" s="6" t="n">
        <x:v>0.884678344408756</x:v>
      </x:c>
      <x:c r="G96" s="7" t="n">
        <x:f>IF(OR(E96="",F96="",F96=0),"",ABS(E96-F96)/ABS(F96))</x:f>
        <x:v>0.00005169466347808967</x:v>
      </x:c>
      <x:c r="H96" s="5" t="str">
        <x:v>TAALED</x:v>
      </x:c>
    </x:row>
    <x:row r="97">
      <x:c r="A97" s="5" t="str">
        <x:v>P10</x:v>
      </x:c>
      <x:c r="B97" s="5" t="str">
        <x:v>PXL_20230516_194059468_transcription.xlsx</x:v>
      </x:c>
      <x:c r="C97" s="5" t="str">
        <x:v>PXL_20230516_194059468_transcription_corrected.txt</x:v>
      </x:c>
      <x:c r="D97" s="5" t="str">
        <x:v>maas_ttr_aw</x:v>
      </x:c>
      <x:c r="E97" s="6" t="n">
        <x:v>0.05172384251205128</x:v>
      </x:c>
      <x:c r="F97" s="6" t="n">
        <x:v>0.051585859151455096</x:v>
      </x:c>
      <x:c r="G97" s="7" t="n">
        <x:f>IF(OR(E97="",F97="",F97=0),"",ABS(E97-F97)/ABS(F97))</x:f>
        <x:v>0.0026748291657035235</x:v>
      </x:c>
      <x:c r="H97" s="5" t="str">
        <x:v>TAALED</x:v>
      </x:c>
    </x:row>
    <x:row r="98">
      <x:c r="A98" s="5" t="str">
        <x:v>P10</x:v>
      </x:c>
      <x:c r="B98" s="5" t="str">
        <x:v>PXL_20230516_194059468_transcription.xlsx</x:v>
      </x:c>
      <x:c r="C98" s="5" t="str">
        <x:v>PXL_20230516_194059468_transcription_corrected.txt</x:v>
      </x:c>
      <x:c r="D98" s="5" t="str">
        <x:v>mattr50_aw</x:v>
      </x:c>
      <x:c r="E98" s="6" t="n">
        <x:v>0.7155371900826446</x:v>
      </x:c>
      <x:c r="F98" s="6" t="n">
        <x:v>0.7126829268292683</x:v>
      </x:c>
      <x:c r="G98" s="7" t="n">
        <x:f>IF(OR(E98="",F98="",F98=0),"",ABS(E98-F98)/ABS(F98))</x:f>
        <x:v>0.004004955283656061</x:v>
      </x:c>
      <x:c r="H98" s="5" t="str">
        <x:v>TAALED</x:v>
      </x:c>
    </x:row>
    <x:row r="99">
      <x:c r="A99" s="5" t="str">
        <x:v>P10</x:v>
      </x:c>
      <x:c r="B99" s="5" t="str">
        <x:v>PXL_20230516_194059468_transcription.xlsx</x:v>
      </x:c>
      <x:c r="C99" s="5" t="str">
        <x:v>PXL_20230516_194059468_transcription_corrected.txt</x:v>
      </x:c>
      <x:c r="D99" s="5" t="str">
        <x:v>msttr50_aw</x:v>
      </x:c>
      <x:c r="E99" s="6" t="n">
        <x:v>0.6866666666666666</x:v>
      </x:c>
      <x:c r="F99" s="6" t="n">
        <x:v>0.6933333333333334</x:v>
      </x:c>
      <x:c r="G99" s="7" t="n">
        <x:f>IF(OR(E99="",F99="",F99=0),"",ABS(E99-F99)/ABS(F99))</x:f>
        <x:v>0.009615384615384677</x:v>
      </x:c>
      <x:c r="H99" s="5" t="str">
        <x:v>TAALED</x:v>
      </x:c>
    </x:row>
    <x:row r="100">
      <x:c r="A100" s="5" t="str">
        <x:v>P10</x:v>
      </x:c>
      <x:c r="B100" s="5" t="str">
        <x:v>PXL_20230516_194059468_transcription.xlsx</x:v>
      </x:c>
      <x:c r="C100" s="5" t="str">
        <x:v>PXL_20230516_194059468_transcription_corrected.txt</x:v>
      </x:c>
      <x:c r="D100" s="5" t="str">
        <x:v>hdd42_aw</x:v>
      </x:c>
      <x:c r="E100" s="6" t="n">
        <x:v>0.8014470376624906</x:v>
      </x:c>
      <x:c r="F100" s="6" t="n">
        <x:v>0.8004076960610756</x:v>
      </x:c>
      <x:c r="G100" s="7" t="n">
        <x:f>IF(OR(E100="",F100="",F100=0),"",ABS(E100-F100)/ABS(F100))</x:f>
        <x:v>0.0012985152523266557</x:v>
      </x:c>
      <x:c r="H100" s="5" t="str">
        <x:v>TAALED</x:v>
      </x:c>
    </x:row>
    <x:row r="101">
      <x:c r="A101" s="5" t="str">
        <x:v>P10</x:v>
      </x:c>
      <x:c r="B101" s="5" t="str">
        <x:v>PXL_20230516_194059468_transcription.xlsx</x:v>
      </x:c>
      <x:c r="C101" s="5" t="str">
        <x:v>PXL_20230516_194059468_transcription_corrected.txt</x:v>
      </x:c>
      <x:c r="D101" s="5" t="str">
        <x:v>mtld_original_aw</x:v>
      </x:c>
      <x:c r="E101" s="6" t="n">
        <x:v>52.133333333333326</x:v>
      </x:c>
      <x:c r="F101" s="6" t="n">
        <x:v>52.74666666666667</x:v>
      </x:c>
      <x:c r="G101" s="7" t="n">
        <x:f>IF(OR(E101="",F101="",F101=0),"",ABS(E101-F101)/ABS(F101))</x:f>
        <x:v>0.011627906976744387</x:v>
      </x:c>
      <x:c r="H101" s="5" t="str">
        <x:v>TAALED</x:v>
      </x:c>
    </x:row>
    <x:row r="102">
      <x:c r="A102" s="5" t="str">
        <x:v>P10</x:v>
      </x:c>
      <x:c r="B102" s="5" t="str">
        <x:v>PXL_20230516_194059468_transcription.xlsx</x:v>
      </x:c>
      <x:c r="C102" s="5" t="str">
        <x:v>PXL_20230516_194059468_transcription_corrected.txt</x:v>
      </x:c>
      <x:c r="D102" s="5" t="str">
        <x:v>mtld_mean_factor_length_aw</x:v>
      </x:c>
      <x:c r="E102" s="6" t="n">
        <x:v>49.107142857142854</x:v>
      </x:c>
      <x:c r="F102" s="6" t="n">
        <x:v>49.67857142857143</x:v>
      </x:c>
      <x:c r="G102" s="7" t="n">
        <x:f>IF(OR(E102="",F102="",F102=0),"",ABS(E102-F102)/ABS(F102))</x:f>
        <x:v>0.011502516175413473</x:v>
      </x:c>
      <x:c r="H102" s="5" t="str">
        <x:v>TAALED</x:v>
      </x:c>
    </x:row>
    <x:row r="103">
      <x:c r="A103" s="5" t="str">
        <x:v>P10</x:v>
      </x:c>
      <x:c r="B103" s="5" t="str">
        <x:v>PXL_20230516_194059468_transcription.xlsx</x:v>
      </x:c>
      <x:c r="C103" s="5" t="str">
        <x:v>PXL_20230516_194059468_transcription_corrected.txt</x:v>
      </x:c>
      <x:c r="D103" s="5" t="str">
        <x:v>total_utterances</x:v>
      </x:c>
      <x:c r="E103" s="6" t="n">
        <x:v>41</x:v>
      </x:c>
      <x:c r="F103" s="6" t="n">
        <x:v>41</x:v>
      </x:c>
      <x:c r="G103" s="7" t="n">
        <x:f>IF(OR(E103="",F103="",F103=0),"",ABS(E103-F103)/ABS(F103))</x:f>
        <x:v>0</x:v>
      </x:c>
      <x:c r="H103" s="5" t="str">
        <x:v>CLAN</x:v>
      </x:c>
    </x:row>
    <x:row r="104">
      <x:c r="A104" s="5" t="str">
        <x:v>P10</x:v>
      </x:c>
      <x:c r="B104" s="5" t="str">
        <x:v>PXL_20230516_194059468_transcription.xlsx</x:v>
      </x:c>
      <x:c r="C104" s="5" t="str">
        <x:v>PXL_20230516_194059468_transcription_corrected.txt</x:v>
      </x:c>
      <x:c r="D104" s="5" t="str">
        <x:v>total_words</x:v>
      </x:c>
      <x:c r="E104" s="6" t="n">
        <x:v>165</x:v>
      </x:c>
      <x:c r="F104" s="6" t="n">
        <x:v>166</x:v>
      </x:c>
      <x:c r="G104" s="7" t="n">
        <x:f>IF(OR(E104="",F104="",F104=0),"",ABS(E104-F104)/ABS(F104))</x:f>
        <x:v>0.006024096385542169</x:v>
      </x:c>
      <x:c r="H104" s="5" t="str">
        <x:v>CLAN</x:v>
      </x:c>
    </x:row>
    <x:row r="105">
      <x:c r="A105" s="5" t="str">
        <x:v>P10</x:v>
      </x:c>
      <x:c r="B105" s="5" t="str">
        <x:v>PXL_20230516_194059468_transcription.xlsx</x:v>
      </x:c>
      <x:c r="C105" s="5" t="str">
        <x:v>PXL_20230516_194059468_transcription_corrected.txt</x:v>
      </x:c>
      <x:c r="D105" s="5" t="str">
        <x:v>mlu_words</x:v>
      </x:c>
      <x:c r="E105" s="6" t="n">
        <x:v>4.024390243902439</x:v>
      </x:c>
      <x:c r="F105" s="6" t="n">
        <x:v>4.049</x:v>
      </x:c>
      <x:c r="G105" s="7" t="n">
        <x:f>IF(OR(E105="",F105="",F105=0),"",ABS(E105-F105)/ABS(F105))</x:f>
        <x:v>0.006077983723774099</x:v>
      </x:c>
      <x:c r="H105" s="5" t="str">
        <x:v>CLAN</x:v>
      </x:c>
    </x:row>
    <x:row r="106">
      <x:c r="A106" s="5" t="str">
        <x:v>P10</x:v>
      </x:c>
      <x:c r="B106" s="5" t="str">
        <x:v>PXL_20230516_194059468_transcription.xlsx</x:v>
      </x:c>
      <x:c r="C106" s="5" t="str">
        <x:v>PXL_20230516_194059468_transcription_corrected.txt</x:v>
      </x:c>
      <x:c r="D106" s="5" t="str">
        <x:v>mlu_words_sd</x:v>
      </x:c>
      <x:c r="E106" s="6" t="n">
        <x:v>5.380578465945599</x:v>
      </x:c>
      <x:c r="F106" s="6" t="n">
        <x:v>5.369</x:v>
      </x:c>
      <x:c r="G106" s="7" t="n">
        <x:f>IF(OR(E106="",F106="",F106=0),"",ABS(E106-F106)/ABS(F106))</x:f>
        <x:v>0.0021565405002047914</x:v>
      </x:c>
      <x:c r="H106" s="5" t="str">
        <x:v>CLAN</x:v>
      </x:c>
    </x:row>
    <x:row r="107">
      <x:c r="A107" s="5" t="str">
        <x:v>P10</x:v>
      </x:c>
      <x:c r="B107" s="5" t="str">
        <x:v>PXL_20230516_195102505_transcription.xlsx</x:v>
      </x:c>
      <x:c r="C107" s="5" t="str">
        <x:v>PXL_20230516_195102505_transcription_corrected.txt</x:v>
      </x:c>
      <x:c r="D107" s="5" t="str">
        <x:v>basic_ntokens</x:v>
      </x:c>
      <x:c r="E107" s="6" t="n">
        <x:v>374</x:v>
      </x:c>
      <x:c r="F107" s="6" t="n">
        <x:v>385</x:v>
      </x:c>
      <x:c r="G107" s="7" t="n">
        <x:f>IF(OR(E107="",F107="",F107=0),"",ABS(E107-F107)/ABS(F107))</x:f>
        <x:v>0.02857142857142857</x:v>
      </x:c>
      <x:c r="H107" s="5" t="str">
        <x:v>TAALED</x:v>
      </x:c>
    </x:row>
    <x:row r="108">
      <x:c r="A108" s="5" t="str">
        <x:v>P10</x:v>
      </x:c>
      <x:c r="B108" s="5" t="str">
        <x:v>PXL_20230516_195102505_transcription.xlsx</x:v>
      </x:c>
      <x:c r="C108" s="5" t="str">
        <x:v>PXL_20230516_195102505_transcription_corrected.txt</x:v>
      </x:c>
      <x:c r="D108" s="5" t="str">
        <x:v>basic_ntypes</x:v>
      </x:c>
      <x:c r="E108" s="6" t="n">
        <x:v>144</x:v>
      </x:c>
      <x:c r="F108" s="6" t="n">
        <x:v>150</x:v>
      </x:c>
      <x:c r="G108" s="7" t="n">
        <x:f>IF(OR(E108="",F108="",F108=0),"",ABS(E108-F108)/ABS(F108))</x:f>
        <x:v>0.04</x:v>
      </x:c>
      <x:c r="H108" s="5" t="str">
        <x:v>TAALED</x:v>
      </x:c>
    </x:row>
    <x:row r="109">
      <x:c r="A109" s="5" t="str">
        <x:v>P10</x:v>
      </x:c>
      <x:c r="B109" s="5" t="str">
        <x:v>PXL_20230516_195102505_transcription.xlsx</x:v>
      </x:c>
      <x:c r="C109" s="5" t="str">
        <x:v>PXL_20230516_195102505_transcription_corrected.txt</x:v>
      </x:c>
      <x:c r="D109" s="5" t="str">
        <x:v>basic_ncontent_tokens</x:v>
      </x:c>
      <x:c r="E109" s="6" t="n">
        <x:v>128</x:v>
      </x:c>
      <x:c r="F109" s="6" t="n">
        <x:v>133</x:v>
      </x:c>
      <x:c r="G109" s="7" t="n">
        <x:f>IF(OR(E109="",F109="",F109=0),"",ABS(E109-F109)/ABS(F109))</x:f>
        <x:v>0.03759398496240601</x:v>
      </x:c>
      <x:c r="H109" s="5" t="str">
        <x:v>TAALED</x:v>
      </x:c>
    </x:row>
    <x:row r="110">
      <x:c r="A110" s="5" t="str">
        <x:v>P10</x:v>
      </x:c>
      <x:c r="B110" s="5" t="str">
        <x:v>PXL_20230516_195102505_transcription.xlsx</x:v>
      </x:c>
      <x:c r="C110" s="5" t="str">
        <x:v>PXL_20230516_195102505_transcription_corrected.txt</x:v>
      </x:c>
      <x:c r="D110" s="5" t="str">
        <x:v>basic_ncontent_types</x:v>
      </x:c>
      <x:c r="E110" s="6" t="n">
        <x:v>79</x:v>
      </x:c>
      <x:c r="F110" s="6" t="n">
        <x:v>83</x:v>
      </x:c>
      <x:c r="G110" s="7" t="n">
        <x:f>IF(OR(E110="",F110="",F110=0),"",ABS(E110-F110)/ABS(F110))</x:f>
        <x:v>0.04819277108433735</x:v>
      </x:c>
      <x:c r="H110" s="5" t="str">
        <x:v>TAALED</x:v>
      </x:c>
    </x:row>
    <x:row r="111">
      <x:c r="A111" s="5" t="str">
        <x:v>P10</x:v>
      </x:c>
      <x:c r="B111" s="5" t="str">
        <x:v>PXL_20230516_195102505_transcription.xlsx</x:v>
      </x:c>
      <x:c r="C111" s="5" t="str">
        <x:v>PXL_20230516_195102505_transcription_corrected.txt</x:v>
      </x:c>
      <x:c r="D111" s="5" t="str">
        <x:v>basic_nfunction_tokens</x:v>
      </x:c>
      <x:c r="E111" s="6" t="n">
        <x:v>246</x:v>
      </x:c>
      <x:c r="F111" s="6" t="n">
        <x:v>252</x:v>
      </x:c>
      <x:c r="G111" s="7" t="n">
        <x:f>IF(OR(E111="",F111="",F111=0),"",ABS(E111-F111)/ABS(F111))</x:f>
        <x:v>0.023809523809523808</x:v>
      </x:c>
      <x:c r="H111" s="5" t="str">
        <x:v>TAALED</x:v>
      </x:c>
    </x:row>
    <x:row r="112">
      <x:c r="A112" s="5" t="str">
        <x:v>P10</x:v>
      </x:c>
      <x:c r="B112" s="5" t="str">
        <x:v>PXL_20230516_195102505_transcription.xlsx</x:v>
      </x:c>
      <x:c r="C112" s="5" t="str">
        <x:v>PXL_20230516_195102505_transcription_corrected.txt</x:v>
      </x:c>
      <x:c r="D112" s="5" t="str">
        <x:v>basic_nfunction_types</x:v>
      </x:c>
      <x:c r="E112" s="6" t="n">
        <x:v>65</x:v>
      </x:c>
      <x:c r="F112" s="6" t="n">
        <x:v>67</x:v>
      </x:c>
      <x:c r="G112" s="7" t="n">
        <x:f>IF(OR(E112="",F112="",F112=0),"",ABS(E112-F112)/ABS(F112))</x:f>
        <x:v>0.029850746268656716</x:v>
      </x:c>
      <x:c r="H112" s="5" t="str">
        <x:v>TAALED</x:v>
      </x:c>
    </x:row>
    <x:row r="113">
      <x:c r="A113" s="5" t="str">
        <x:v>P10</x:v>
      </x:c>
      <x:c r="B113" s="5" t="str">
        <x:v>PXL_20230516_195102505_transcription.xlsx</x:v>
      </x:c>
      <x:c r="C113" s="5" t="str">
        <x:v>PXL_20230516_195102505_transcription_corrected.txt</x:v>
      </x:c>
      <x:c r="D113" s="5" t="str">
        <x:v>lexical_density_tokens</x:v>
      </x:c>
      <x:c r="E113" s="6" t="n">
        <x:v>0.3422459893048128</x:v>
      </x:c>
      <x:c r="F113" s="6" t="n">
        <x:v>0.34545454545454546</x:v>
      </x:c>
      <x:c r="G113" s="7" t="n">
        <x:f>IF(OR(E113="",F113="",F113=0),"",ABS(E113-F113)/ABS(F113))</x:f>
        <x:v>0.009287925696594496</x:v>
      </x:c>
      <x:c r="H113" s="5" t="str">
        <x:v>TAALED</x:v>
      </x:c>
    </x:row>
    <x:row r="114">
      <x:c r="A114" s="5" t="str">
        <x:v>P10</x:v>
      </x:c>
      <x:c r="B114" s="5" t="str">
        <x:v>PXL_20230516_195102505_transcription.xlsx</x:v>
      </x:c>
      <x:c r="C114" s="5" t="str">
        <x:v>PXL_20230516_195102505_transcription_corrected.txt</x:v>
      </x:c>
      <x:c r="D114" s="5" t="str">
        <x:v>lexical_density_types</x:v>
      </x:c>
      <x:c r="E114" s="6" t="n">
        <x:v>0.5486111111111112</x:v>
      </x:c>
      <x:c r="F114" s="6" t="n">
        <x:v>0.5533333333333333</x:v>
      </x:c>
      <x:c r="G114" s="7" t="n">
        <x:f>IF(OR(E114="",F114="",F114=0),"",ABS(E114-F114)/ABS(F114))</x:f>
        <x:v>0.008534136546184668</x:v>
      </x:c>
      <x:c r="H114" s="5" t="str">
        <x:v>TAALED</x:v>
      </x:c>
    </x:row>
    <x:row r="115">
      <x:c r="A115" s="5" t="str">
        <x:v>P10</x:v>
      </x:c>
      <x:c r="B115" s="5" t="str">
        <x:v>PXL_20230516_195102505_transcription.xlsx</x:v>
      </x:c>
      <x:c r="C115" s="5" t="str">
        <x:v>PXL_20230516_195102505_transcription_corrected.txt</x:v>
      </x:c>
      <x:c r="D115" s="5" t="str">
        <x:v>simple_ttr_aw</x:v>
      </x:c>
      <x:c r="E115" s="6" t="n">
        <x:v>0.3850267379679144</x:v>
      </x:c>
      <x:c r="F115" s="6" t="n">
        <x:v>0.38961038961038963</x:v>
      </x:c>
      <x:c r="G115" s="7" t="n">
        <x:f>IF(OR(E115="",F115="",F115=0),"",ABS(E115-F115)/ABS(F115))</x:f>
        <x:v>0.011764705882353028</x:v>
      </x:c>
      <x:c r="H115" s="5" t="str">
        <x:v>TAALED</x:v>
      </x:c>
    </x:row>
    <x:row r="116">
      <x:c r="A116" s="5" t="str">
        <x:v>P10</x:v>
      </x:c>
      <x:c r="B116" s="5" t="str">
        <x:v>PXL_20230516_195102505_transcription.xlsx</x:v>
      </x:c>
      <x:c r="C116" s="5" t="str">
        <x:v>PXL_20230516_195102505_transcription_corrected.txt</x:v>
      </x:c>
      <x:c r="D116" s="5" t="str">
        <x:v>root_ttr_aw</x:v>
      </x:c>
      <x:c r="E116" s="6" t="n">
        <x:v>7.446062735928276</x:v>
      </x:c>
      <x:c r="F116" s="6" t="n">
        <x:v>7.644707871564384</x:v>
      </x:c>
      <x:c r="G116" s="7" t="n">
        <x:f>IF(OR(E116="",F116="",F116=0),"",ABS(E116-F116)/ABS(F116))</x:f>
        <x:v>0.025984660103886698</x:v>
      </x:c>
      <x:c r="H116" s="5" t="str">
        <x:v>TAALED</x:v>
      </x:c>
    </x:row>
    <x:row r="117">
      <x:c r="A117" s="5" t="str">
        <x:v>P10</x:v>
      </x:c>
      <x:c r="B117" s="5" t="str">
        <x:v>PXL_20230516_195102505_transcription.xlsx</x:v>
      </x:c>
      <x:c r="C117" s="5" t="str">
        <x:v>PXL_20230516_195102505_transcription_corrected.txt</x:v>
      </x:c>
      <x:c r="D117" s="5" t="str">
        <x:v>log_ttr_aw</x:v>
      </x:c>
      <x:c r="E117" s="6" t="n">
        <x:v>0.8388924228668401</x:v>
      </x:c>
      <x:c r="F117" s="6" t="n">
        <x:v>0.8416647888785993</x:v>
      </x:c>
      <x:c r="G117" s="7" t="n">
        <x:f>IF(OR(E117="",F117="",F117=0),"",ABS(E117-F117)/ABS(F117))</x:f>
        <x:v>0.003293907560815299</x:v>
      </x:c>
      <x:c r="H117" s="5" t="str">
        <x:v>TAALED</x:v>
      </x:c>
    </x:row>
    <x:row r="118">
      <x:c r="A118" s="5" t="str">
        <x:v>P10</x:v>
      </x:c>
      <x:c r="B118" s="5" t="str">
        <x:v>PXL_20230516_195102505_transcription.xlsx</x:v>
      </x:c>
      <x:c r="C118" s="5" t="str">
        <x:v>PXL_20230516_195102505_transcription_corrected.txt</x:v>
      </x:c>
      <x:c r="D118" s="5" t="str">
        <x:v>maas_ttr_aw</x:v>
      </x:c>
      <x:c r="E118" s="6" t="n">
        <x:v>0.0626178068875923</x:v>
      </x:c>
      <x:c r="F118" s="6" t="n">
        <x:v>0.06124061731600947</x:v>
      </x:c>
      <x:c r="G118" s="7" t="n">
        <x:f>IF(OR(E118="",F118="",F118=0),"",ABS(E118-F118)/ABS(F118))</x:f>
        <x:v>0.022488172587750953</x:v>
      </x:c>
      <x:c r="H118" s="5" t="str">
        <x:v>TAALED</x:v>
      </x:c>
    </x:row>
    <x:row r="119">
      <x:c r="A119" s="5" t="str">
        <x:v>P10</x:v>
      </x:c>
      <x:c r="B119" s="5" t="str">
        <x:v>PXL_20230516_195102505_transcription.xlsx</x:v>
      </x:c>
      <x:c r="C119" s="5" t="str">
        <x:v>PXL_20230516_195102505_transcription_corrected.txt</x:v>
      </x:c>
      <x:c r="D119" s="5" t="str">
        <x:v>mattr50_aw</x:v>
      </x:c>
      <x:c r="E119" s="6" t="n">
        <x:v>0.7305230769230769</x:v>
      </x:c>
      <x:c r="F119" s="6" t="n">
        <x:v>0.7246428571428571</x:v>
      </x:c>
      <x:c r="G119" s="7" t="n">
        <x:f>IF(OR(E119="",F119="",F119=0),"",ABS(E119-F119)/ABS(F119))</x:f>
        <x:v>0.008114645334950928</x:v>
      </x:c>
      <x:c r="H119" s="5" t="str">
        <x:v>TAALED</x:v>
      </x:c>
    </x:row>
    <x:row r="120">
      <x:c r="A120" s="5" t="str">
        <x:v>P10</x:v>
      </x:c>
      <x:c r="B120" s="5" t="str">
        <x:v>PXL_20230516_195102505_transcription.xlsx</x:v>
      </x:c>
      <x:c r="C120" s="5" t="str">
        <x:v>PXL_20230516_195102505_transcription_corrected.txt</x:v>
      </x:c>
      <x:c r="D120" s="5" t="str">
        <x:v>msttr50_aw</x:v>
      </x:c>
      <x:c r="E120" s="6" t="n">
        <x:v>0.7371428571428571</x:v>
      </x:c>
      <x:c r="F120" s="6" t="n">
        <x:v>0.722857142857143</x:v>
      </x:c>
      <x:c r="G120" s="7" t="n">
        <x:f>IF(OR(E120="",F120="",F120=0),"",ABS(E120-F120)/ABS(F120))</x:f>
        <x:v>0.019762845849802143</x:v>
      </x:c>
      <x:c r="H120" s="5" t="str">
        <x:v>TAALED</x:v>
      </x:c>
    </x:row>
    <x:row r="121">
      <x:c r="A121" s="5" t="str">
        <x:v>P10</x:v>
      </x:c>
      <x:c r="B121" s="5" t="str">
        <x:v>PXL_20230516_195102505_transcription.xlsx</x:v>
      </x:c>
      <x:c r="C121" s="5" t="str">
        <x:v>PXL_20230516_195102505_transcription_corrected.txt</x:v>
      </x:c>
      <x:c r="D121" s="5" t="str">
        <x:v>hdd42_aw</x:v>
      </x:c>
      <x:c r="E121" s="6" t="n">
        <x:v>0.7939207049476048</x:v>
      </x:c>
      <x:c r="F121" s="6" t="n">
        <x:v>0.7948756903731137</x:v>
      </x:c>
      <x:c r="G121" s="7" t="n">
        <x:f>IF(OR(E121="",F121="",F121=0),"",ABS(E121-F121)/ABS(F121))</x:f>
        <x:v>0.001201427389307378</x:v>
      </x:c>
      <x:c r="H121" s="5" t="str">
        <x:v>TAALED</x:v>
      </x:c>
    </x:row>
    <x:row r="122">
      <x:c r="A122" s="5" t="str">
        <x:v>P10</x:v>
      </x:c>
      <x:c r="B122" s="5" t="str">
        <x:v>PXL_20230516_195102505_transcription.xlsx</x:v>
      </x:c>
      <x:c r="C122" s="5" t="str">
        <x:v>PXL_20230516_195102505_transcription_corrected.txt</x:v>
      </x:c>
      <x:c r="D122" s="5" t="str">
        <x:v>mtld_original_aw</x:v>
      </x:c>
      <x:c r="E122" s="6" t="n">
        <x:v>42.43140132061629</x:v>
      </x:c>
      <x:c r="F122" s="6" t="n">
        <x:v>39.581265508684865</x:v>
      </x:c>
      <x:c r="G122" s="7" t="n">
        <x:f>IF(OR(E122="",F122="",F122=0),"",ABS(E122-F122)/ABS(F122))</x:f>
        <x:v>0.07200719267821415</x:v>
      </x:c>
      <x:c r="H122" s="5" t="str">
        <x:v>TAALED</x:v>
      </x:c>
    </x:row>
    <x:row r="123">
      <x:c r="A123" s="5" t="str">
        <x:v>P10</x:v>
      </x:c>
      <x:c r="B123" s="5" t="str">
        <x:v>PXL_20230516_195102505_transcription.xlsx</x:v>
      </x:c>
      <x:c r="C123" s="5" t="str">
        <x:v>PXL_20230516_195102505_transcription_corrected.txt</x:v>
      </x:c>
      <x:c r="D123" s="5" t="str">
        <x:v>mtld_mean_factor_length_aw</x:v>
      </x:c>
      <x:c r="E123" s="6" t="n">
        <x:v>42.73555555555556</x:v>
      </x:c>
      <x:c r="F123" s="6" t="n">
        <x:v>39.604</x:v>
      </x:c>
      <x:c r="G123" s="7" t="n">
        <x:f>IF(OR(E123="",F123="",F123=0),"",ABS(E123-F123)/ABS(F123))</x:f>
        <x:v>0.07907169870607912</x:v>
      </x:c>
      <x:c r="H123" s="5" t="str">
        <x:v>TAALED</x:v>
      </x:c>
    </x:row>
    <x:row r="124">
      <x:c r="A124" s="5" t="str">
        <x:v>P10</x:v>
      </x:c>
      <x:c r="B124" s="5" t="str">
        <x:v>PXL_20230516_195102505_transcription.xlsx</x:v>
      </x:c>
      <x:c r="C124" s="5" t="str">
        <x:v>PXL_20230516_195102505_transcription_corrected.txt</x:v>
      </x:c>
      <x:c r="D124" s="5" t="str">
        <x:v>total_utterances</x:v>
      </x:c>
      <x:c r="E124" s="6" t="n">
        <x:v>35</x:v>
      </x:c>
      <x:c r="F124" s="6" t="n">
        <x:v>35</x:v>
      </x:c>
      <x:c r="G124" s="7" t="n">
        <x:f>IF(OR(E124="",F124="",F124=0),"",ABS(E124-F124)/ABS(F124))</x:f>
        <x:v>0</x:v>
      </x:c>
      <x:c r="H124" s="5" t="str">
        <x:v>CLAN</x:v>
      </x:c>
    </x:row>
    <x:row r="125">
      <x:c r="A125" s="5" t="str">
        <x:v>P10</x:v>
      </x:c>
      <x:c r="B125" s="5" t="str">
        <x:v>PXL_20230516_195102505_transcription.xlsx</x:v>
      </x:c>
      <x:c r="C125" s="5" t="str">
        <x:v>PXL_20230516_195102505_transcription_corrected.txt</x:v>
      </x:c>
      <x:c r="D125" s="5" t="str">
        <x:v>total_words</x:v>
      </x:c>
      <x:c r="E125" s="6" t="n">
        <x:v>369</x:v>
      </x:c>
      <x:c r="F125" s="6" t="n">
        <x:v>376</x:v>
      </x:c>
      <x:c r="G125" s="7" t="n">
        <x:f>IF(OR(E125="",F125="",F125=0),"",ABS(E125-F125)/ABS(F125))</x:f>
        <x:v>0.018617021276595744</x:v>
      </x:c>
      <x:c r="H125" s="5" t="str">
        <x:v>CLAN</x:v>
      </x:c>
    </x:row>
    <x:row r="126">
      <x:c r="A126" s="5" t="str">
        <x:v>P10</x:v>
      </x:c>
      <x:c r="B126" s="5" t="str">
        <x:v>PXL_20230516_195102505_transcription.xlsx</x:v>
      </x:c>
      <x:c r="C126" s="5" t="str">
        <x:v>PXL_20230516_195102505_transcription_corrected.txt</x:v>
      </x:c>
      <x:c r="D126" s="5" t="str">
        <x:v>mlu_words</x:v>
      </x:c>
      <x:c r="E126" s="6" t="n">
        <x:v>10.542857142857143</x:v>
      </x:c>
      <x:c r="F126" s="6" t="n">
        <x:v>10.743</x:v>
      </x:c>
      <x:c r="G126" s="7" t="n">
        <x:f>IF(OR(E126="",F126="",F126=0),"",ABS(E126-F126)/ABS(F126))</x:f>
        <x:v>0.01863007140862493</x:v>
      </x:c>
      <x:c r="H126" s="5" t="str">
        <x:v>CLAN</x:v>
      </x:c>
    </x:row>
    <x:row r="127">
      <x:c r="A127" s="5" t="str">
        <x:v>P10</x:v>
      </x:c>
      <x:c r="B127" s="5" t="str">
        <x:v>PXL_20230516_195102505_transcription.xlsx</x:v>
      </x:c>
      <x:c r="C127" s="5" t="str">
        <x:v>PXL_20230516_195102505_transcription_corrected.txt</x:v>
      </x:c>
      <x:c r="D127" s="5" t="str">
        <x:v>mlu_words_sd</x:v>
      </x:c>
      <x:c r="E127" s="6" t="n">
        <x:v>7.369213399166086</x:v>
      </x:c>
      <x:c r="F127" s="6" t="n">
        <x:v>8.306</x:v>
      </x:c>
      <x:c r="G127" s="7" t="n">
        <x:f>IF(OR(E127="",F127="",F127=0),"",ABS(E127-F127)/ABS(F127))</x:f>
        <x:v>0.11278432468503649</x:v>
      </x:c>
      <x:c r="H127" s="5" t="str">
        <x:v>CLAN</x:v>
      </x:c>
    </x:row>
    <x:row r="128">
      <x:c r="A128" s="5" t="str">
        <x:v>P2</x:v>
      </x:c>
      <x:c r="B128" s="5" t="str">
        <x:v>PXL_20230420_205152473_transcription.xlsx</x:v>
      </x:c>
      <x:c r="C128" s="5" t="str">
        <x:v>P2_T1_corrected.txt</x:v>
      </x:c>
      <x:c r="D128" s="5" t="str">
        <x:v>basic_ntokens</x:v>
      </x:c>
      <x:c r="E128" s="6" t="n">
        <x:v>1239</x:v>
      </x:c>
      <x:c r="F128" s="6" t="n">
        <x:v>1235</x:v>
      </x:c>
      <x:c r="G128" s="7" t="n">
        <x:f>IF(OR(E128="",F128="",F128=0),"",ABS(E128-F128)/ABS(F128))</x:f>
        <x:v>0.0032388663967611335</x:v>
      </x:c>
      <x:c r="H128" s="5" t="str">
        <x:v>TAALED</x:v>
      </x:c>
    </x:row>
    <x:row r="129">
      <x:c r="A129" s="5" t="str">
        <x:v>P2</x:v>
      </x:c>
      <x:c r="B129" s="5" t="str">
        <x:v>PXL_20230420_205152473_transcription.xlsx</x:v>
      </x:c>
      <x:c r="C129" s="5" t="str">
        <x:v>P2_T1_corrected.txt</x:v>
      </x:c>
      <x:c r="D129" s="5" t="str">
        <x:v>basic_ntypes</x:v>
      </x:c>
      <x:c r="E129" s="6" t="n">
        <x:v>368</x:v>
      </x:c>
      <x:c r="F129" s="6" t="n">
        <x:v>370</x:v>
      </x:c>
      <x:c r="G129" s="7" t="n">
        <x:f>IF(OR(E129="",F129="",F129=0),"",ABS(E129-F129)/ABS(F129))</x:f>
        <x:v>0.005405405405405406</x:v>
      </x:c>
      <x:c r="H129" s="5" t="str">
        <x:v>TAALED</x:v>
      </x:c>
    </x:row>
    <x:row r="130">
      <x:c r="A130" s="5" t="str">
        <x:v>P2</x:v>
      </x:c>
      <x:c r="B130" s="5" t="str">
        <x:v>PXL_20230420_205152473_transcription.xlsx</x:v>
      </x:c>
      <x:c r="C130" s="5" t="str">
        <x:v>P2_T1_corrected.txt</x:v>
      </x:c>
      <x:c r="D130" s="5" t="str">
        <x:v>basic_ncontent_tokens</x:v>
      </x:c>
      <x:c r="E130" s="6" t="n">
        <x:v>476</x:v>
      </x:c>
      <x:c r="F130" s="6" t="n">
        <x:v>481</x:v>
      </x:c>
      <x:c r="G130" s="7" t="n">
        <x:f>IF(OR(E130="",F130="",F130=0),"",ABS(E130-F130)/ABS(F130))</x:f>
        <x:v>0.010395010395010396</x:v>
      </x:c>
      <x:c r="H130" s="5" t="str">
        <x:v>TAALED</x:v>
      </x:c>
    </x:row>
    <x:row r="131">
      <x:c r="A131" s="5" t="str">
        <x:v>P2</x:v>
      </x:c>
      <x:c r="B131" s="5" t="str">
        <x:v>PXL_20230420_205152473_transcription.xlsx</x:v>
      </x:c>
      <x:c r="C131" s="5" t="str">
        <x:v>P2_T1_corrected.txt</x:v>
      </x:c>
      <x:c r="D131" s="5" t="str">
        <x:v>basic_ncontent_types</x:v>
      </x:c>
      <x:c r="E131" s="6" t="n">
        <x:v>262</x:v>
      </x:c>
      <x:c r="F131" s="6" t="n">
        <x:v>264</x:v>
      </x:c>
      <x:c r="G131" s="7" t="n">
        <x:f>IF(OR(E131="",F131="",F131=0),"",ABS(E131-F131)/ABS(F131))</x:f>
        <x:v>0.007575757575757576</x:v>
      </x:c>
      <x:c r="H131" s="5" t="str">
        <x:v>TAALED</x:v>
      </x:c>
    </x:row>
    <x:row r="132">
      <x:c r="A132" s="5" t="str">
        <x:v>P2</x:v>
      </x:c>
      <x:c r="B132" s="5" t="str">
        <x:v>PXL_20230420_205152473_transcription.xlsx</x:v>
      </x:c>
      <x:c r="C132" s="5" t="str">
        <x:v>P2_T1_corrected.txt</x:v>
      </x:c>
      <x:c r="D132" s="5" t="str">
        <x:v>basic_nfunction_tokens</x:v>
      </x:c>
      <x:c r="E132" s="6" t="n">
        <x:v>763</x:v>
      </x:c>
      <x:c r="F132" s="6" t="n">
        <x:v>754</x:v>
      </x:c>
      <x:c r="G132" s="7" t="n">
        <x:f>IF(OR(E132="",F132="",F132=0),"",ABS(E132-F132)/ABS(F132))</x:f>
        <x:v>0.011936339522546418</x:v>
      </x:c>
      <x:c r="H132" s="5" t="str">
        <x:v>TAALED</x:v>
      </x:c>
    </x:row>
    <x:row r="133">
      <x:c r="A133" s="5" t="str">
        <x:v>P2</x:v>
      </x:c>
      <x:c r="B133" s="5" t="str">
        <x:v>PXL_20230420_205152473_transcription.xlsx</x:v>
      </x:c>
      <x:c r="C133" s="5" t="str">
        <x:v>P2_T1_corrected.txt</x:v>
      </x:c>
      <x:c r="D133" s="5" t="str">
        <x:v>basic_nfunction_types</x:v>
      </x:c>
      <x:c r="E133" s="6" t="n">
        <x:v>106</x:v>
      </x:c>
      <x:c r="F133" s="6" t="n">
        <x:v>106</x:v>
      </x:c>
      <x:c r="G133" s="7" t="n">
        <x:f>IF(OR(E133="",F133="",F133=0),"",ABS(E133-F133)/ABS(F133))</x:f>
        <x:v>0</x:v>
      </x:c>
      <x:c r="H133" s="5" t="str">
        <x:v>TAALED</x:v>
      </x:c>
    </x:row>
    <x:row r="134">
      <x:c r="A134" s="5" t="str">
        <x:v>P2</x:v>
      </x:c>
      <x:c r="B134" s="5" t="str">
        <x:v>PXL_20230420_205152473_transcription.xlsx</x:v>
      </x:c>
      <x:c r="C134" s="5" t="str">
        <x:v>P2_T1_corrected.txt</x:v>
      </x:c>
      <x:c r="D134" s="5" t="str">
        <x:v>lexical_density_tokens</x:v>
      </x:c>
      <x:c r="E134" s="6" t="n">
        <x:v>0.384180790960452</x:v>
      </x:c>
      <x:c r="F134" s="6" t="n">
        <x:v>0.3894736842105263</x:v>
      </x:c>
      <x:c r="G134" s="7" t="n">
        <x:f>IF(OR(E134="",F134="",F134=0),"",ABS(E134-F134)/ABS(F134))</x:f>
        <x:v>0.013589861047488107</x:v>
      </x:c>
      <x:c r="H134" s="5" t="str">
        <x:v>TAALED</x:v>
      </x:c>
    </x:row>
    <x:row r="135">
      <x:c r="A135" s="5" t="str">
        <x:v>P2</x:v>
      </x:c>
      <x:c r="B135" s="5" t="str">
        <x:v>PXL_20230420_205152473_transcription.xlsx</x:v>
      </x:c>
      <x:c r="C135" s="5" t="str">
        <x:v>P2_T1_corrected.txt</x:v>
      </x:c>
      <x:c r="D135" s="5" t="str">
        <x:v>lexical_density_types</x:v>
      </x:c>
      <x:c r="E135" s="6" t="n">
        <x:v>0.7119565217391305</x:v>
      </x:c>
      <x:c r="F135" s="6" t="n">
        <x:v>0.7135135135135136</x:v>
      </x:c>
      <x:c r="G135" s="7" t="n">
        <x:f>IF(OR(E135="",F135="",F135=0),"",ABS(E135-F135)/ABS(F135))</x:f>
        <x:v>0.0021821475625823264</x:v>
      </x:c>
      <x:c r="H135" s="5" t="str">
        <x:v>TAALED</x:v>
      </x:c>
    </x:row>
    <x:row r="136">
      <x:c r="A136" s="5" t="str">
        <x:v>P2</x:v>
      </x:c>
      <x:c r="B136" s="5" t="str">
        <x:v>PXL_20230420_205152473_transcription.xlsx</x:v>
      </x:c>
      <x:c r="C136" s="5" t="str">
        <x:v>P2_T1_corrected.txt</x:v>
      </x:c>
      <x:c r="D136" s="5" t="str">
        <x:v>simple_ttr_aw</x:v>
      </x:c>
      <x:c r="E136" s="6" t="n">
        <x:v>0.2970137207425343</x:v>
      </x:c>
      <x:c r="F136" s="6" t="n">
        <x:v>0.29959514170040485</x:v>
      </x:c>
      <x:c r="G136" s="7" t="n">
        <x:f>IF(OR(E136="",F136="",F136=0),"",ABS(E136-F136)/ABS(F136))</x:f>
        <x:v>0.008616364548567956</x:v>
      </x:c>
      <x:c r="H136" s="5" t="str">
        <x:v>TAALED</x:v>
      </x:c>
    </x:row>
    <x:row r="137">
      <x:c r="A137" s="5" t="str">
        <x:v>P2</x:v>
      </x:c>
      <x:c r="B137" s="5" t="str">
        <x:v>PXL_20230420_205152473_transcription.xlsx</x:v>
      </x:c>
      <x:c r="C137" s="5" t="str">
        <x:v>P2_T1_corrected.txt</x:v>
      </x:c>
      <x:c r="D137" s="5" t="str">
        <x:v>root_ttr_aw</x:v>
      </x:c>
      <x:c r="E137" s="6" t="n">
        <x:v>10.454714210979304</x:v>
      </x:c>
      <x:c r="F137" s="6" t="n">
        <x:v>10.528542274652736</x:v>
      </x:c>
      <x:c r="G137" s="7" t="n">
        <x:f>IF(OR(E137="",F137="",F137=0),"",ABS(E137-F137)/ABS(F137))</x:f>
        <x:v>0.007012182859461114</x:v>
      </x:c>
      <x:c r="H137" s="5" t="str">
        <x:v>TAALED</x:v>
      </x:c>
    </x:row>
    <x:row r="138">
      <x:c r="A138" s="5" t="str">
        <x:v>P2</x:v>
      </x:c>
      <x:c r="B138" s="5" t="str">
        <x:v>PXL_20230420_205152473_transcription.xlsx</x:v>
      </x:c>
      <x:c r="C138" s="5" t="str">
        <x:v>P2_T1_corrected.txt</x:v>
      </x:c>
      <x:c r="D138" s="5" t="str">
        <x:v>log_ttr_aw</x:v>
      </x:c>
      <x:c r="E138" s="6" t="n">
        <x:v>0.8295469339437064</x:v>
      </x:c>
      <x:c r="F138" s="6" t="n">
        <x:v>0.8306851155999753</x:v>
      </x:c>
      <x:c r="G138" s="7" t="n">
        <x:f>IF(OR(E138="",F138="",F138=0),"",ABS(E138-F138)/ABS(F138))</x:f>
        <x:v>0.0013701722047190156</x:v>
      </x:c>
      <x:c r="H138" s="5" t="str">
        <x:v>TAALED</x:v>
      </x:c>
    </x:row>
    <x:row r="139">
      <x:c r="A139" s="5" t="str">
        <x:v>P2</x:v>
      </x:c>
      <x:c r="B139" s="5" t="str">
        <x:v>PXL_20230420_205152473_transcription.xlsx</x:v>
      </x:c>
      <x:c r="C139" s="5" t="str">
        <x:v>P2_T1_corrected.txt</x:v>
      </x:c>
      <x:c r="D139" s="5" t="str">
        <x:v>maas_ttr_aw</x:v>
      </x:c>
      <x:c r="E139" s="6" t="n">
        <x:v>0.055108029907012294</x:v>
      </x:c>
      <x:c r="F139" s="6" t="n">
        <x:v>0.054764917024470484</x:v>
      </x:c>
      <x:c r="G139" s="7" t="n">
        <x:f>IF(OR(E139="",F139="",F139=0),"",ABS(E139-F139)/ABS(F139))</x:f>
        <x:v>0.006265194967582945</x:v>
      </x:c>
      <x:c r="H139" s="5" t="str">
        <x:v>TAALED</x:v>
      </x:c>
    </x:row>
    <x:row r="140">
      <x:c r="A140" s="5" t="str">
        <x:v>P2</x:v>
      </x:c>
      <x:c r="B140" s="5" t="str">
        <x:v>PXL_20230420_205152473_transcription.xlsx</x:v>
      </x:c>
      <x:c r="C140" s="5" t="str">
        <x:v>P2_T1_corrected.txt</x:v>
      </x:c>
      <x:c r="D140" s="5" t="str">
        <x:v>mattr50_aw</x:v>
      </x:c>
      <x:c r="E140" s="6" t="n">
        <x:v>0.7157310924369747</x:v>
      </x:c>
      <x:c r="F140" s="6" t="n">
        <x:v>0.7197639123102867</x:v>
      </x:c>
      <x:c r="G140" s="7" t="n">
        <x:f>IF(OR(E140="",F140="",F140=0),"",ABS(E140-F140)/ABS(F140))</x:f>
        <x:v>0.005602975926324873</x:v>
      </x:c>
      <x:c r="H140" s="5" t="str">
        <x:v>TAALED</x:v>
      </x:c>
    </x:row>
    <x:row r="141">
      <x:c r="A141" s="5" t="str">
        <x:v>P2</x:v>
      </x:c>
      <x:c r="B141" s="5" t="str">
        <x:v>PXL_20230420_205152473_transcription.xlsx</x:v>
      </x:c>
      <x:c r="C141" s="5" t="str">
        <x:v>P2_T1_corrected.txt</x:v>
      </x:c>
      <x:c r="D141" s="5" t="str">
        <x:v>msttr50_aw</x:v>
      </x:c>
      <x:c r="E141" s="6" t="n">
        <x:v>0.7183333333333334</x:v>
      </x:c>
      <x:c r="F141" s="6" t="n">
        <x:v>0.7216666666666667</x:v>
      </x:c>
      <x:c r="G141" s="7" t="n">
        <x:f>IF(OR(E141="",F141="",F141=0),"",ABS(E141-F141)/ABS(F141))</x:f>
        <x:v>0.0046189376443417545</x:v>
      </x:c>
      <x:c r="H141" s="5" t="str">
        <x:v>TAALED</x:v>
      </x:c>
    </x:row>
    <x:row r="142">
      <x:c r="A142" s="5" t="str">
        <x:v>P2</x:v>
      </x:c>
      <x:c r="B142" s="5" t="str">
        <x:v>PXL_20230420_205152473_transcription.xlsx</x:v>
      </x:c>
      <x:c r="C142" s="5" t="str">
        <x:v>P2_T1_corrected.txt</x:v>
      </x:c>
      <x:c r="D142" s="5" t="str">
        <x:v>hdd42_aw</x:v>
      </x:c>
      <x:c r="E142" s="6" t="n">
        <x:v>0.7786576539024974</x:v>
      </x:c>
      <x:c r="F142" s="6" t="n">
        <x:v>0.7805935872874439</x:v>
      </x:c>
      <x:c r="G142" s="7" t="n">
        <x:f>IF(OR(E142="",F142="",F142=0),"",ABS(E142-F142)/ABS(F142))</x:f>
        <x:v>0.002480078515215346</x:v>
      </x:c>
      <x:c r="H142" s="5" t="str">
        <x:v>TAALED</x:v>
      </x:c>
    </x:row>
    <x:row r="143">
      <x:c r="A143" s="5" t="str">
        <x:v>P2</x:v>
      </x:c>
      <x:c r="B143" s="5" t="str">
        <x:v>PXL_20230420_205152473_transcription.xlsx</x:v>
      </x:c>
      <x:c r="C143" s="5" t="str">
        <x:v>P2_T1_corrected.txt</x:v>
      </x:c>
      <x:c r="D143" s="5" t="str">
        <x:v>mtld_original_aw</x:v>
      </x:c>
      <x:c r="E143" s="6" t="n">
        <x:v>42.750896962072474</x:v>
      </x:c>
      <x:c r="F143" s="6" t="n">
        <x:v>45.30362599164634</x:v>
      </x:c>
      <x:c r="G143" s="7" t="n">
        <x:f>IF(OR(E143="",F143="",F143=0),"",ABS(E143-F143)/ABS(F143))</x:f>
        <x:v>0.05634712395967097</x:v>
      </x:c>
      <x:c r="H143" s="5" t="str">
        <x:v>TAALED</x:v>
      </x:c>
    </x:row>
    <x:row r="144">
      <x:c r="A144" s="5" t="str">
        <x:v>P2</x:v>
      </x:c>
      <x:c r="B144" s="5" t="str">
        <x:v>PXL_20230420_205152473_transcription.xlsx</x:v>
      </x:c>
      <x:c r="C144" s="5" t="str">
        <x:v>P2_T1_corrected.txt</x:v>
      </x:c>
      <x:c r="D144" s="5" t="str">
        <x:v>mtld_mean_factor_length_aw</x:v>
      </x:c>
      <x:c r="E144" s="6" t="n">
        <x:v>42.644340770791075</x:v>
      </x:c>
      <x:c r="F144" s="6" t="n">
        <x:v>45.21936541889483</x:v>
      </x:c>
      <x:c r="G144" s="7" t="n">
        <x:f>IF(OR(E144="",F144="",F144=0),"",ABS(E144-F144)/ABS(F144))</x:f>
        <x:v>0.056945174357263026</x:v>
      </x:c>
      <x:c r="H144" s="5" t="str">
        <x:v>TAALED</x:v>
      </x:c>
    </x:row>
    <x:row r="145">
      <x:c r="A145" s="5" t="str">
        <x:v>P2</x:v>
      </x:c>
      <x:c r="B145" s="5" t="str">
        <x:v>PXL_20230420_205152473_transcription.xlsx</x:v>
      </x:c>
      <x:c r="C145" s="5" t="str">
        <x:v>P2_T1_corrected.txt</x:v>
      </x:c>
      <x:c r="D145" s="5" t="str">
        <x:v>total_utterances</x:v>
      </x:c>
      <x:c r="E145" s="6" t="n">
        <x:v>105</x:v>
      </x:c>
      <x:c r="F145" s="6" t="n">
        <x:v>87</x:v>
      </x:c>
      <x:c r="G145" s="7" t="n">
        <x:f>IF(OR(E145="",F145="",F145=0),"",ABS(E145-F145)/ABS(F145))</x:f>
        <x:v>0.20689655172413793</x:v>
      </x:c>
      <x:c r="H145" s="5" t="str">
        <x:v>CLAN</x:v>
      </x:c>
    </x:row>
    <x:row r="146">
      <x:c r="A146" s="5" t="str">
        <x:v>P2</x:v>
      </x:c>
      <x:c r="B146" s="5" t="str">
        <x:v>PXL_20230420_205152473_transcription.xlsx</x:v>
      </x:c>
      <x:c r="C146" s="5" t="str">
        <x:v>P2_T1_corrected.txt</x:v>
      </x:c>
      <x:c r="D146" s="5" t="str">
        <x:v>total_words</x:v>
      </x:c>
      <x:c r="E146" s="6" t="n">
        <x:v>1177</x:v>
      </x:c>
      <x:c r="F146" s="6" t="n">
        <x:v>1172</x:v>
      </x:c>
      <x:c r="G146" s="7" t="n">
        <x:f>IF(OR(E146="",F146="",F146=0),"",ABS(E146-F146)/ABS(F146))</x:f>
        <x:v>0.004266211604095563</x:v>
      </x:c>
      <x:c r="H146" s="5" t="str">
        <x:v>CLAN</x:v>
      </x:c>
    </x:row>
    <x:row r="147">
      <x:c r="A147" s="5" t="str">
        <x:v>P2</x:v>
      </x:c>
      <x:c r="B147" s="5" t="str">
        <x:v>PXL_20230420_205152473_transcription.xlsx</x:v>
      </x:c>
      <x:c r="C147" s="5" t="str">
        <x:v>P2_T1_corrected.txt</x:v>
      </x:c>
      <x:c r="D147" s="5" t="str">
        <x:v>mlu_words</x:v>
      </x:c>
      <x:c r="E147" s="6" t="n">
        <x:v>11.209523809523809</x:v>
      </x:c>
      <x:c r="F147" s="6" t="n">
        <x:v>13.471</x:v>
      </x:c>
      <x:c r="G147" s="7" t="n">
        <x:f>IF(OR(E147="",F147="",F147=0),"",ABS(E147-F147)/ABS(F147))</x:f>
        <x:v>0.1678773803337682</x:v>
      </x:c>
      <x:c r="H147" s="5" t="str">
        <x:v>CLAN</x:v>
      </x:c>
    </x:row>
    <x:row r="148">
      <x:c r="A148" s="5" t="str">
        <x:v>P2</x:v>
      </x:c>
      <x:c r="B148" s="5" t="str">
        <x:v>PXL_20230420_205152473_transcription.xlsx</x:v>
      </x:c>
      <x:c r="C148" s="5" t="str">
        <x:v>P2_T1_corrected.txt</x:v>
      </x:c>
      <x:c r="D148" s="5" t="str">
        <x:v>mlu_words_sd</x:v>
      </x:c>
      <x:c r="E148" s="6" t="n">
        <x:v>7.508338524087087</x:v>
      </x:c>
      <x:c r="F148" s="6" t="n">
        <x:v>7.358</x:v>
      </x:c>
      <x:c r="G148" s="7" t="n">
        <x:f>IF(OR(E148="",F148="",F148=0),"",ABS(E148-F148)/ABS(F148))</x:f>
        <x:v>0.020431982072178195</x:v>
      </x:c>
      <x:c r="H148" s="5" t="str">
        <x:v>CLAN</x:v>
      </x:c>
    </x:row>
    <x:row r="149">
      <x:c r="A149" s="5" t="str">
        <x:v>P2</x:v>
      </x:c>
      <x:c r="B149" s="5" t="str">
        <x:v>PXL_20230420_210054601_transcription.xlsx</x:v>
      </x:c>
      <x:c r="C149" s="5" t="str">
        <x:v>P2_T2_corrected.txt</x:v>
      </x:c>
      <x:c r="D149" s="5" t="str">
        <x:v>basic_ntokens</x:v>
      </x:c>
      <x:c r="E149" s="6" t="n">
        <x:v>1056</x:v>
      </x:c>
      <x:c r="F149" s="6" t="n">
        <x:v>1040</x:v>
      </x:c>
      <x:c r="G149" s="7" t="n">
        <x:f>IF(OR(E149="",F149="",F149=0),"",ABS(E149-F149)/ABS(F149))</x:f>
        <x:v>0.015384615384615385</x:v>
      </x:c>
      <x:c r="H149" s="5" t="str">
        <x:v>TAALED</x:v>
      </x:c>
    </x:row>
    <x:row r="150">
      <x:c r="A150" s="5" t="str">
        <x:v>P2</x:v>
      </x:c>
      <x:c r="B150" s="5" t="str">
        <x:v>PXL_20230420_210054601_transcription.xlsx</x:v>
      </x:c>
      <x:c r="C150" s="5" t="str">
        <x:v>P2_T2_corrected.txt</x:v>
      </x:c>
      <x:c r="D150" s="5" t="str">
        <x:v>basic_ntypes</x:v>
      </x:c>
      <x:c r="E150" s="6" t="n">
        <x:v>322</x:v>
      </x:c>
      <x:c r="F150" s="6" t="n">
        <x:v>318</x:v>
      </x:c>
      <x:c r="G150" s="7" t="n">
        <x:f>IF(OR(E150="",F150="",F150=0),"",ABS(E150-F150)/ABS(F150))</x:f>
        <x:v>0.012578616352201259</x:v>
      </x:c>
      <x:c r="H150" s="5" t="str">
        <x:v>TAALED</x:v>
      </x:c>
    </x:row>
    <x:row r="151">
      <x:c r="A151" s="5" t="str">
        <x:v>P2</x:v>
      </x:c>
      <x:c r="B151" s="5" t="str">
        <x:v>PXL_20230420_210054601_transcription.xlsx</x:v>
      </x:c>
      <x:c r="C151" s="5" t="str">
        <x:v>P2_T2_corrected.txt</x:v>
      </x:c>
      <x:c r="D151" s="5" t="str">
        <x:v>basic_ncontent_tokens</x:v>
      </x:c>
      <x:c r="E151" s="6" t="n">
        <x:v>426</x:v>
      </x:c>
      <x:c r="F151" s="6" t="n">
        <x:v>421</x:v>
      </x:c>
      <x:c r="G151" s="7" t="n">
        <x:f>IF(OR(E151="",F151="",F151=0),"",ABS(E151-F151)/ABS(F151))</x:f>
        <x:v>0.011876484560570071</x:v>
      </x:c>
      <x:c r="H151" s="5" t="str">
        <x:v>TAALED</x:v>
      </x:c>
    </x:row>
    <x:row r="152">
      <x:c r="A152" s="5" t="str">
        <x:v>P2</x:v>
      </x:c>
      <x:c r="B152" s="5" t="str">
        <x:v>PXL_20230420_210054601_transcription.xlsx</x:v>
      </x:c>
      <x:c r="C152" s="5" t="str">
        <x:v>P2_T2_corrected.txt</x:v>
      </x:c>
      <x:c r="D152" s="5" t="str">
        <x:v>basic_ncontent_types</x:v>
      </x:c>
      <x:c r="E152" s="6" t="n">
        <x:v>231</x:v>
      </x:c>
      <x:c r="F152" s="6" t="n">
        <x:v>226</x:v>
      </x:c>
      <x:c r="G152" s="7" t="n">
        <x:f>IF(OR(E152="",F152="",F152=0),"",ABS(E152-F152)/ABS(F152))</x:f>
        <x:v>0.022123893805309734</x:v>
      </x:c>
      <x:c r="H152" s="5" t="str">
        <x:v>TAALED</x:v>
      </x:c>
    </x:row>
    <x:row r="153">
      <x:c r="A153" s="5" t="str">
        <x:v>P2</x:v>
      </x:c>
      <x:c r="B153" s="5" t="str">
        <x:v>PXL_20230420_210054601_transcription.xlsx</x:v>
      </x:c>
      <x:c r="C153" s="5" t="str">
        <x:v>P2_T2_corrected.txt</x:v>
      </x:c>
      <x:c r="D153" s="5" t="str">
        <x:v>basic_nfunction_tokens</x:v>
      </x:c>
      <x:c r="E153" s="6" t="n">
        <x:v>630</x:v>
      </x:c>
      <x:c r="F153" s="6" t="n">
        <x:v>619</x:v>
      </x:c>
      <x:c r="G153" s="7" t="n">
        <x:f>IF(OR(E153="",F153="",F153=0),"",ABS(E153-F153)/ABS(F153))</x:f>
        <x:v>0.017770597738287562</x:v>
      </x:c>
      <x:c r="H153" s="5" t="str">
        <x:v>TAALED</x:v>
      </x:c>
    </x:row>
    <x:row r="154">
      <x:c r="A154" s="5" t="str">
        <x:v>P2</x:v>
      </x:c>
      <x:c r="B154" s="5" t="str">
        <x:v>PXL_20230420_210054601_transcription.xlsx</x:v>
      </x:c>
      <x:c r="C154" s="5" t="str">
        <x:v>P2_T2_corrected.txt</x:v>
      </x:c>
      <x:c r="D154" s="5" t="str">
        <x:v>basic_nfunction_types</x:v>
      </x:c>
      <x:c r="E154" s="6" t="n">
        <x:v>91</x:v>
      </x:c>
      <x:c r="F154" s="6" t="n">
        <x:v>92</x:v>
      </x:c>
      <x:c r="G154" s="7" t="n">
        <x:f>IF(OR(E154="",F154="",F154=0),"",ABS(E154-F154)/ABS(F154))</x:f>
        <x:v>0.010869565217391304</x:v>
      </x:c>
      <x:c r="H154" s="5" t="str">
        <x:v>TAALED</x:v>
      </x:c>
    </x:row>
    <x:row r="155">
      <x:c r="A155" s="5" t="str">
        <x:v>P2</x:v>
      </x:c>
      <x:c r="B155" s="5" t="str">
        <x:v>PXL_20230420_210054601_transcription.xlsx</x:v>
      </x:c>
      <x:c r="C155" s="5" t="str">
        <x:v>P2_T2_corrected.txt</x:v>
      </x:c>
      <x:c r="D155" s="5" t="str">
        <x:v>lexical_density_tokens</x:v>
      </x:c>
      <x:c r="E155" s="6" t="n">
        <x:v>0.4034090909090909</x:v>
      </x:c>
      <x:c r="F155" s="6" t="n">
        <x:v>0.4048076923076923</x:v>
      </x:c>
      <x:c r="G155" s="7" t="n">
        <x:f>IF(OR(E155="",F155="",F155=0),"",ABS(E155-F155)/ABS(F155))</x:f>
        <x:v>0.0034549773267113686</x:v>
      </x:c>
      <x:c r="H155" s="5" t="str">
        <x:v>TAALED</x:v>
      </x:c>
    </x:row>
    <x:row r="156">
      <x:c r="A156" s="5" t="str">
        <x:v>P2</x:v>
      </x:c>
      <x:c r="B156" s="5" t="str">
        <x:v>PXL_20230420_210054601_transcription.xlsx</x:v>
      </x:c>
      <x:c r="C156" s="5" t="str">
        <x:v>P2_T2_corrected.txt</x:v>
      </x:c>
      <x:c r="D156" s="5" t="str">
        <x:v>lexical_density_types</x:v>
      </x:c>
      <x:c r="E156" s="6" t="n">
        <x:v>0.717391304347826</x:v>
      </x:c>
      <x:c r="F156" s="6" t="n">
        <x:v>0.710691823899371</x:v>
      </x:c>
      <x:c r="G156" s="7" t="n">
        <x:f>IF(OR(E156="",F156="",F156=0),"",ABS(E156-F156)/ABS(F156))</x:f>
        <x:v>0.009426702577914602</x:v>
      </x:c>
      <x:c r="H156" s="5" t="str">
        <x:v>TAALED</x:v>
      </x:c>
    </x:row>
    <x:row r="157">
      <x:c r="A157" s="5" t="str">
        <x:v>P2</x:v>
      </x:c>
      <x:c r="B157" s="5" t="str">
        <x:v>PXL_20230420_210054601_transcription.xlsx</x:v>
      </x:c>
      <x:c r="C157" s="5" t="str">
        <x:v>P2_T2_corrected.txt</x:v>
      </x:c>
      <x:c r="D157" s="5" t="str">
        <x:v>simple_ttr_aw</x:v>
      </x:c>
      <x:c r="E157" s="6" t="n">
        <x:v>0.30492424242424243</x:v>
      </x:c>
      <x:c r="F157" s="6" t="n">
        <x:v>0.3057692307692308</x:v>
      </x:c>
      <x:c r="G157" s="7" t="n">
        <x:f>IF(OR(E157="",F157="",F157=0),"",ABS(E157-F157)/ABS(F157))</x:f>
        <x:v>0.0027634838955594232</x:v>
      </x:c>
      <x:c r="H157" s="5" t="str">
        <x:v>TAALED</x:v>
      </x:c>
    </x:row>
    <x:row r="158">
      <x:c r="A158" s="5" t="str">
        <x:v>P2</x:v>
      </x:c>
      <x:c r="B158" s="5" t="str">
        <x:v>PXL_20230420_210054601_transcription.xlsx</x:v>
      </x:c>
      <x:c r="C158" s="5" t="str">
        <x:v>P2_T2_corrected.txt</x:v>
      </x:c>
      <x:c r="D158" s="5" t="str">
        <x:v>root_ttr_aw</x:v>
      </x:c>
      <x:c r="E158" s="6" t="n">
        <x:v>9.908865023836285</x:v>
      </x:c>
      <x:c r="F158" s="6" t="n">
        <x:v>9.860761399842072</x:v>
      </x:c>
      <x:c r="G158" s="7" t="n">
        <x:f>IF(OR(E158="",F158="",F158=0),"",ABS(E158-F158)/ABS(F158))</x:f>
        <x:v>0.004878286984510395</x:v>
      </x:c>
      <x:c r="H158" s="5" t="str">
        <x:v>TAALED</x:v>
      </x:c>
    </x:row>
    <x:row r="159">
      <x:c r="A159" s="5" t="str">
        <x:v>P2</x:v>
      </x:c>
      <x:c r="B159" s="5" t="str">
        <x:v>PXL_20230420_210054601_transcription.xlsx</x:v>
      </x:c>
      <x:c r="C159" s="5" t="str">
        <x:v>P2_T2_corrected.txt</x:v>
      </x:c>
      <x:c r="D159" s="5" t="str">
        <x:v>log_ttr_aw</x:v>
      </x:c>
      <x:c r="E159" s="6" t="n">
        <x:v>0.8294095969470702</x:v>
      </x:c>
      <x:c r="F159" s="6" t="n">
        <x:v>0.8294330352232857</x:v>
      </x:c>
      <x:c r="G159" s="7" t="n">
        <x:f>IF(OR(E159="",F159="",F159=0),"",ABS(E159-F159)/ABS(F159))</x:f>
        <x:v>0.000028258189896219324</x:v>
      </x:c>
      <x:c r="H159" s="5" t="str">
        <x:v>TAALED</x:v>
      </x:c>
    </x:row>
    <x:row r="160">
      <x:c r="A160" s="5" t="str">
        <x:v>P2</x:v>
      </x:c>
      <x:c r="B160" s="5" t="str">
        <x:v>PXL_20230420_210054601_transcription.xlsx</x:v>
      </x:c>
      <x:c r="C160" s="5" t="str">
        <x:v>P2_T2_corrected.txt</x:v>
      </x:c>
      <x:c r="D160" s="5" t="str">
        <x:v>maas_ttr_aw</x:v>
      </x:c>
      <x:c r="E160" s="6" t="n">
        <x:v>0.05641844056352913</x:v>
      </x:c>
      <x:c r="F160" s="6" t="n">
        <x:v>0.05653466355673666</x:v>
      </x:c>
      <x:c r="G160" s="7" t="n">
        <x:f>IF(OR(E160="",F160="",F160=0),"",ABS(E160-F160)/ABS(F160))</x:f>
        <x:v>0.0020557828754192726</x:v>
      </x:c>
      <x:c r="H160" s="5" t="str">
        <x:v>TAALED</x:v>
      </x:c>
    </x:row>
    <x:row r="161">
      <x:c r="A161" s="5" t="str">
        <x:v>P2</x:v>
      </x:c>
      <x:c r="B161" s="5" t="str">
        <x:v>PXL_20230420_210054601_transcription.xlsx</x:v>
      </x:c>
      <x:c r="C161" s="5" t="str">
        <x:v>P2_T2_corrected.txt</x:v>
      </x:c>
      <x:c r="D161" s="5" t="str">
        <x:v>mattr50_aw</x:v>
      </x:c>
      <x:c r="E161" s="6" t="n">
        <x:v>0.7101489572989077</x:v>
      </x:c>
      <x:c r="F161" s="6" t="n">
        <x:v>0.707305751765893</x:v>
      </x:c>
      <x:c r="G161" s="7" t="n">
        <x:f>IF(OR(E161="",F161="",F161=0),"",ABS(E161-F161)/ABS(F161))</x:f>
        <x:v>0.004019768715178926</x:v>
      </x:c>
      <x:c r="H161" s="5" t="str">
        <x:v>TAALED</x:v>
      </x:c>
    </x:row>
    <x:row r="162">
      <x:c r="A162" s="5" t="str">
        <x:v>P2</x:v>
      </x:c>
      <x:c r="B162" s="5" t="str">
        <x:v>PXL_20230420_210054601_transcription.xlsx</x:v>
      </x:c>
      <x:c r="C162" s="5" t="str">
        <x:v>P2_T2_corrected.txt</x:v>
      </x:c>
      <x:c r="D162" s="5" t="str">
        <x:v>msttr50_aw</x:v>
      </x:c>
      <x:c r="E162" s="6" t="n">
        <x:v>0.7133333333333334</x:v>
      </x:c>
      <x:c r="F162" s="6" t="n">
        <x:v>0.704</x:v>
      </x:c>
      <x:c r="G162" s="7" t="n">
        <x:f>IF(OR(E162="",F162="",F162=0),"",ABS(E162-F162)/ABS(F162))</x:f>
        <x:v>0.013257575757575876</x:v>
      </x:c>
      <x:c r="H162" s="5" t="str">
        <x:v>TAALED</x:v>
      </x:c>
    </x:row>
    <x:row r="163">
      <x:c r="A163" s="5" t="str">
        <x:v>P2</x:v>
      </x:c>
      <x:c r="B163" s="5" t="str">
        <x:v>PXL_20230420_210054601_transcription.xlsx</x:v>
      </x:c>
      <x:c r="C163" s="5" t="str">
        <x:v>P2_T2_corrected.txt</x:v>
      </x:c>
      <x:c r="D163" s="5" t="str">
        <x:v>hdd42_aw</x:v>
      </x:c>
      <x:c r="E163" s="6" t="n">
        <x:v>0.7856938216044704</x:v>
      </x:c>
      <x:c r="F163" s="6" t="n">
        <x:v>0.7836908022054312</x:v>
      </x:c>
      <x:c r="G163" s="7" t="n">
        <x:f>IF(OR(E163="",F163="",F163=0),"",ABS(E163-F163)/ABS(F163))</x:f>
        <x:v>0.002555879682908647</x:v>
      </x:c>
      <x:c r="H163" s="5" t="str">
        <x:v>TAALED</x:v>
      </x:c>
    </x:row>
    <x:row r="164">
      <x:c r="A164" s="5" t="str">
        <x:v>P2</x:v>
      </x:c>
      <x:c r="B164" s="5" t="str">
        <x:v>PXL_20230420_210054601_transcription.xlsx</x:v>
      </x:c>
      <x:c r="C164" s="5" t="str">
        <x:v>P2_T2_corrected.txt</x:v>
      </x:c>
      <x:c r="D164" s="5" t="str">
        <x:v>mtld_original_aw</x:v>
      </x:c>
      <x:c r="E164" s="6" t="n">
        <x:v>44.346255677518684</x:v>
      </x:c>
      <x:c r="F164" s="6" t="n">
        <x:v>39.767373735414395</x:v>
      </x:c>
      <x:c r="G164" s="7" t="n">
        <x:f>IF(OR(E164="",F164="",F164=0),"",ABS(E164-F164)/ABS(F164))</x:f>
        <x:v>0.11514167298472154</x:v>
      </x:c>
      <x:c r="H164" s="5" t="str">
        <x:v>TAALED</x:v>
      </x:c>
    </x:row>
    <x:row r="165">
      <x:c r="A165" s="5" t="str">
        <x:v>P2</x:v>
      </x:c>
      <x:c r="B165" s="5" t="str">
        <x:v>PXL_20230420_210054601_transcription.xlsx</x:v>
      </x:c>
      <x:c r="C165" s="5" t="str">
        <x:v>P2_T2_corrected.txt</x:v>
      </x:c>
      <x:c r="D165" s="5" t="str">
        <x:v>mtld_mean_factor_length_aw</x:v>
      </x:c>
      <x:c r="E165" s="6" t="n">
        <x:v>44.446122448979594</x:v>
      </x:c>
      <x:c r="F165" s="6" t="n">
        <x:v>39.847232704402515</x:v>
      </x:c>
      <x:c r="G165" s="7" t="n">
        <x:f>IF(OR(E165="",F165="",F165=0),"",ABS(E165-F165)/ABS(F165))</x:f>
        <x:v>0.11541302701477113</x:v>
      </x:c>
      <x:c r="H165" s="5" t="str">
        <x:v>TAALED</x:v>
      </x:c>
    </x:row>
    <x:row r="166">
      <x:c r="A166" s="5" t="str">
        <x:v>P2</x:v>
      </x:c>
      <x:c r="B166" s="5" t="str">
        <x:v>PXL_20230420_210054601_transcription.xlsx</x:v>
      </x:c>
      <x:c r="C166" s="5" t="str">
        <x:v>P2_T2_corrected.txt</x:v>
      </x:c>
      <x:c r="D166" s="5" t="str">
        <x:v>total_utterances</x:v>
      </x:c>
      <x:c r="E166" s="6" t="n">
        <x:v>75</x:v>
      </x:c>
      <x:c r="F166" s="6" t="n">
        <x:v>69</x:v>
      </x:c>
      <x:c r="G166" s="7" t="n">
        <x:f>IF(OR(E166="",F166="",F166=0),"",ABS(E166-F166)/ABS(F166))</x:f>
        <x:v>0.08695652173913043</x:v>
      </x:c>
      <x:c r="H166" s="5" t="str">
        <x:v>CLAN</x:v>
      </x:c>
    </x:row>
    <x:row r="167">
      <x:c r="A167" s="5" t="str">
        <x:v>P2</x:v>
      </x:c>
      <x:c r="B167" s="5" t="str">
        <x:v>PXL_20230420_210054601_transcription.xlsx</x:v>
      </x:c>
      <x:c r="C167" s="5" t="str">
        <x:v>P2_T2_corrected.txt</x:v>
      </x:c>
      <x:c r="D167" s="5" t="str">
        <x:v>total_words</x:v>
      </x:c>
      <x:c r="E167" s="6" t="n">
        <x:v>1036</x:v>
      </x:c>
      <x:c r="F167" s="6" t="n">
        <x:v>1016</x:v>
      </x:c>
      <x:c r="G167" s="7" t="n">
        <x:f>IF(OR(E167="",F167="",F167=0),"",ABS(E167-F167)/ABS(F167))</x:f>
        <x:v>0.01968503937007874</x:v>
      </x:c>
      <x:c r="H167" s="5" t="str">
        <x:v>CLAN</x:v>
      </x:c>
    </x:row>
    <x:row r="168">
      <x:c r="A168" s="5" t="str">
        <x:v>P2</x:v>
      </x:c>
      <x:c r="B168" s="5" t="str">
        <x:v>PXL_20230420_210054601_transcription.xlsx</x:v>
      </x:c>
      <x:c r="C168" s="5" t="str">
        <x:v>P2_T2_corrected.txt</x:v>
      </x:c>
      <x:c r="D168" s="5" t="str">
        <x:v>mlu_words</x:v>
      </x:c>
      <x:c r="E168" s="6" t="n">
        <x:v>13.813333333333333</x:v>
      </x:c>
      <x:c r="F168" s="6" t="n">
        <x:v>14.725</x:v>
      </x:c>
      <x:c r="G168" s="7" t="n">
        <x:f>IF(OR(E168="",F168="",F168=0),"",ABS(E168-F168)/ABS(F168))</x:f>
        <x:v>0.061912846632710836</x:v>
      </x:c>
      <x:c r="H168" s="5" t="str">
        <x:v>CLAN</x:v>
      </x:c>
    </x:row>
    <x:row r="169">
      <x:c r="A169" s="5" t="str">
        <x:v>P2</x:v>
      </x:c>
      <x:c r="B169" s="5" t="str">
        <x:v>PXL_20230420_210054601_transcription.xlsx</x:v>
      </x:c>
      <x:c r="C169" s="5" t="str">
        <x:v>P2_T2_corrected.txt</x:v>
      </x:c>
      <x:c r="D169" s="5" t="str">
        <x:v>mlu_words_sd</x:v>
      </x:c>
      <x:c r="E169" s="6" t="n">
        <x:v>7.562527502245676</x:v>
      </x:c>
      <x:c r="F169" s="6" t="n">
        <x:v>6.92</x:v>
      </x:c>
      <x:c r="G169" s="7" t="n">
        <x:f>IF(OR(E169="",F169="",F169=0),"",ABS(E169-F169)/ABS(F169))</x:f>
        <x:v>0.09285079512220758</x:v>
      </x:c>
      <x:c r="H169" s="5" t="str">
        <x:v>CLAN</x:v>
      </x:c>
    </x:row>
    <x:row r="170">
      <x:c r="A170" s="5" t="str">
        <x:v>P2</x:v>
      </x:c>
      <x:c r="B170" s="5" t="str">
        <x:v>PXL_20230420_210851914_transcription.xlsx</x:v>
      </x:c>
      <x:c r="C170" s="5" t="str">
        <x:v>P2_T3_corrected.txt</x:v>
      </x:c>
      <x:c r="D170" s="5" t="str">
        <x:v>basic_ntokens</x:v>
      </x:c>
      <x:c r="E170" s="6" t="n">
        <x:v>1001</x:v>
      </x:c>
      <x:c r="F170" s="6" t="n">
        <x:v>985</x:v>
      </x:c>
      <x:c r="G170" s="7" t="n">
        <x:f>IF(OR(E170="",F170="",F170=0),"",ABS(E170-F170)/ABS(F170))</x:f>
        <x:v>0.016243654822335026</x:v>
      </x:c>
      <x:c r="H170" s="5" t="str">
        <x:v>TAALED</x:v>
      </x:c>
    </x:row>
    <x:row r="171">
      <x:c r="A171" s="5" t="str">
        <x:v>P2</x:v>
      </x:c>
      <x:c r="B171" s="5" t="str">
        <x:v>PXL_20230420_210851914_transcription.xlsx</x:v>
      </x:c>
      <x:c r="C171" s="5" t="str">
        <x:v>P2_T3_corrected.txt</x:v>
      </x:c>
      <x:c r="D171" s="5" t="str">
        <x:v>basic_ntypes</x:v>
      </x:c>
      <x:c r="E171" s="6" t="n">
        <x:v>295</x:v>
      </x:c>
      <x:c r="F171" s="6" t="n">
        <x:v>297</x:v>
      </x:c>
      <x:c r="G171" s="7" t="n">
        <x:f>IF(OR(E171="",F171="",F171=0),"",ABS(E171-F171)/ABS(F171))</x:f>
        <x:v>0.006734006734006734</x:v>
      </x:c>
      <x:c r="H171" s="5" t="str">
        <x:v>TAALED</x:v>
      </x:c>
    </x:row>
    <x:row r="172">
      <x:c r="A172" s="5" t="str">
        <x:v>P2</x:v>
      </x:c>
      <x:c r="B172" s="5" t="str">
        <x:v>PXL_20230420_210851914_transcription.xlsx</x:v>
      </x:c>
      <x:c r="C172" s="5" t="str">
        <x:v>P2_T3_corrected.txt</x:v>
      </x:c>
      <x:c r="D172" s="5" t="str">
        <x:v>basic_ncontent_tokens</x:v>
      </x:c>
      <x:c r="E172" s="6" t="n">
        <x:v>364</x:v>
      </x:c>
      <x:c r="F172" s="6" t="n">
        <x:v>368</x:v>
      </x:c>
      <x:c r="G172" s="7" t="n">
        <x:f>IF(OR(E172="",F172="",F172=0),"",ABS(E172-F172)/ABS(F172))</x:f>
        <x:v>0.010869565217391304</x:v>
      </x:c>
      <x:c r="H172" s="5" t="str">
        <x:v>TAALED</x:v>
      </x:c>
    </x:row>
    <x:row r="173">
      <x:c r="A173" s="5" t="str">
        <x:v>P2</x:v>
      </x:c>
      <x:c r="B173" s="5" t="str">
        <x:v>PXL_20230420_210851914_transcription.xlsx</x:v>
      </x:c>
      <x:c r="C173" s="5" t="str">
        <x:v>P2_T3_corrected.txt</x:v>
      </x:c>
      <x:c r="D173" s="5" t="str">
        <x:v>basic_ncontent_types</x:v>
      </x:c>
      <x:c r="E173" s="6" t="n">
        <x:v>208</x:v>
      </x:c>
      <x:c r="F173" s="6" t="n">
        <x:v>210</x:v>
      </x:c>
      <x:c r="G173" s="7" t="n">
        <x:f>IF(OR(E173="",F173="",F173=0),"",ABS(E173-F173)/ABS(F173))</x:f>
        <x:v>0.009523809523809525</x:v>
      </x:c>
      <x:c r="H173" s="5" t="str">
        <x:v>TAALED</x:v>
      </x:c>
    </x:row>
    <x:row r="174">
      <x:c r="A174" s="5" t="str">
        <x:v>P2</x:v>
      </x:c>
      <x:c r="B174" s="5" t="str">
        <x:v>PXL_20230420_210851914_transcription.xlsx</x:v>
      </x:c>
      <x:c r="C174" s="5" t="str">
        <x:v>P2_T3_corrected.txt</x:v>
      </x:c>
      <x:c r="D174" s="5" t="str">
        <x:v>basic_nfunction_tokens</x:v>
      </x:c>
      <x:c r="E174" s="6" t="n">
        <x:v>637</x:v>
      </x:c>
      <x:c r="F174" s="6" t="n">
        <x:v>617</x:v>
      </x:c>
      <x:c r="G174" s="7" t="n">
        <x:f>IF(OR(E174="",F174="",F174=0),"",ABS(E174-F174)/ABS(F174))</x:f>
        <x:v>0.03241491085899514</x:v>
      </x:c>
      <x:c r="H174" s="5" t="str">
        <x:v>TAALED</x:v>
      </x:c>
    </x:row>
    <x:row r="175">
      <x:c r="A175" s="5" t="str">
        <x:v>P2</x:v>
      </x:c>
      <x:c r="B175" s="5" t="str">
        <x:v>PXL_20230420_210851914_transcription.xlsx</x:v>
      </x:c>
      <x:c r="C175" s="5" t="str">
        <x:v>P2_T3_corrected.txt</x:v>
      </x:c>
      <x:c r="D175" s="5" t="str">
        <x:v>basic_nfunction_types</x:v>
      </x:c>
      <x:c r="E175" s="6" t="n">
        <x:v>87</x:v>
      </x:c>
      <x:c r="F175" s="6" t="n">
        <x:v>87</x:v>
      </x:c>
      <x:c r="G175" s="7" t="n">
        <x:f>IF(OR(E175="",F175="",F175=0),"",ABS(E175-F175)/ABS(F175))</x:f>
        <x:v>0</x:v>
      </x:c>
      <x:c r="H175" s="5" t="str">
        <x:v>TAALED</x:v>
      </x:c>
    </x:row>
    <x:row r="176">
      <x:c r="A176" s="5" t="str">
        <x:v>P2</x:v>
      </x:c>
      <x:c r="B176" s="5" t="str">
        <x:v>PXL_20230420_210851914_transcription.xlsx</x:v>
      </x:c>
      <x:c r="C176" s="5" t="str">
        <x:v>P2_T3_corrected.txt</x:v>
      </x:c>
      <x:c r="D176" s="5" t="str">
        <x:v>lexical_density_tokens</x:v>
      </x:c>
      <x:c r="E176" s="6" t="n">
        <x:v>0.36363636363636365</x:v>
      </x:c>
      <x:c r="F176" s="6" t="n">
        <x:v>0.37360406091370557</x:v>
      </x:c>
      <x:c r="G176" s="7" t="n">
        <x:f>IF(OR(E176="",F176="",F176=0),"",ABS(E176-F176)/ABS(F176))</x:f>
        <x:v>0.02667984189723314</x:v>
      </x:c>
      <x:c r="H176" s="5" t="str">
        <x:v>TAALED</x:v>
      </x:c>
    </x:row>
    <x:row r="177">
      <x:c r="A177" s="5" t="str">
        <x:v>P2</x:v>
      </x:c>
      <x:c r="B177" s="5" t="str">
        <x:v>PXL_20230420_210851914_transcription.xlsx</x:v>
      </x:c>
      <x:c r="C177" s="5" t="str">
        <x:v>P2_T3_corrected.txt</x:v>
      </x:c>
      <x:c r="D177" s="5" t="str">
        <x:v>lexical_density_types</x:v>
      </x:c>
      <x:c r="E177" s="6" t="n">
        <x:v>0.7050847457627119</x:v>
      </x:c>
      <x:c r="F177" s="6" t="n">
        <x:v>0.7070707070707071</x:v>
      </x:c>
      <x:c r="G177" s="7" t="n">
        <x:f>IF(OR(E177="",F177="",F177=0),"",ABS(E177-F177)/ABS(F177))</x:f>
        <x:v>0.0028087167070218124</x:v>
      </x:c>
      <x:c r="H177" s="5" t="str">
        <x:v>TAALED</x:v>
      </x:c>
    </x:row>
    <x:row r="178">
      <x:c r="A178" s="5" t="str">
        <x:v>P2</x:v>
      </x:c>
      <x:c r="B178" s="5" t="str">
        <x:v>PXL_20230420_210851914_transcription.xlsx</x:v>
      </x:c>
      <x:c r="C178" s="5" t="str">
        <x:v>P2_T3_corrected.txt</x:v>
      </x:c>
      <x:c r="D178" s="5" t="str">
        <x:v>simple_ttr_aw</x:v>
      </x:c>
      <x:c r="E178" s="6" t="n">
        <x:v>0.2947052947052947</x:v>
      </x:c>
      <x:c r="F178" s="6" t="n">
        <x:v>0.3015228426395939</x:v>
      </x:c>
      <x:c r="G178" s="7" t="n">
        <x:f>IF(OR(E178="",F178="",F178=0),"",ABS(E178-F178)/ABS(F178))</x:f>
        <x:v>0.022610386246749783</x:v>
      </x:c>
      <x:c r="H178" s="5" t="str">
        <x:v>TAALED</x:v>
      </x:c>
    </x:row>
    <x:row r="179">
      <x:c r="A179" s="5" t="str">
        <x:v>P2</x:v>
      </x:c>
      <x:c r="B179" s="5" t="str">
        <x:v>PXL_20230420_210851914_transcription.xlsx</x:v>
      </x:c>
      <x:c r="C179" s="5" t="str">
        <x:v>P2_T3_corrected.txt</x:v>
      </x:c>
      <x:c r="D179" s="5" t="str">
        <x:v>root_ttr_aw</x:v>
      </x:c>
      <x:c r="E179" s="6" t="n">
        <x:v>9.324058233304955</x:v>
      </x:c>
      <x:c r="F179" s="6" t="n">
        <x:v>9.463206869975917</x:v>
      </x:c>
      <x:c r="G179" s="7" t="n">
        <x:f>IF(OR(E179="",F179="",F179=0),"",ABS(E179-F179)/ABS(F179))</x:f>
        <x:v>0.014704173604451268</x:v>
      </x:c>
      <x:c r="H179" s="5" t="str">
        <x:v>TAALED</x:v>
      </x:c>
    </x:row>
    <x:row r="180">
      <x:c r="A180" s="5" t="str">
        <x:v>P2</x:v>
      </x:c>
      <x:c r="B180" s="5" t="str">
        <x:v>PXL_20230420_210851914_transcription.xlsx</x:v>
      </x:c>
      <x:c r="C180" s="5" t="str">
        <x:v>P2_T3_corrected.txt</x:v>
      </x:c>
      <x:c r="D180" s="5" t="str">
        <x:v>log_ttr_aw</x:v>
      </x:c>
      <x:c r="E180" s="6" t="n">
        <x:v>0.8231549009912172</x:v>
      </x:c>
      <x:c r="F180" s="6" t="n">
        <x:v>0.8260595045000024</x:v>
      </x:c>
      <x:c r="G180" s="7" t="n">
        <x:f>IF(OR(E180="",F180="",F180=0),"",ABS(E180-F180)/ABS(F180))</x:f>
        <x:v>0.003516215833075228</x:v>
      </x:c>
      <x:c r="H180" s="5" t="str">
        <x:v>TAALED</x:v>
      </x:c>
    </x:row>
    <x:row r="181">
      <x:c r="A181" s="5" t="str">
        <x:v>P2</x:v>
      </x:c>
      <x:c r="B181" s="5" t="str">
        <x:v>PXL_20230420_210851914_transcription.xlsx</x:v>
      </x:c>
      <x:c r="C181" s="5" t="str">
        <x:v>P2_T3_corrected.txt</x:v>
      </x:c>
      <x:c r="D181" s="5" t="str">
        <x:v>maas_ttr_aw</x:v>
      </x:c>
      <x:c r="E181" s="6" t="n">
        <x:v>0.05893983818413077</x:v>
      </x:c>
      <x:c r="F181" s="6" t="n">
        <x:v>0.05810729947338235</x:v>
      </x:c>
      <x:c r="G181" s="7" t="n">
        <x:f>IF(OR(E181="",F181="",F181=0),"",ABS(E181-F181)/ABS(F181))</x:f>
        <x:v>0.014327609754602113</x:v>
      </x:c>
      <x:c r="H181" s="5" t="str">
        <x:v>TAALED</x:v>
      </x:c>
    </x:row>
    <x:row r="182">
      <x:c r="A182" s="5" t="str">
        <x:v>P2</x:v>
      </x:c>
      <x:c r="B182" s="5" t="str">
        <x:v>PXL_20230420_210851914_transcription.xlsx</x:v>
      </x:c>
      <x:c r="C182" s="5" t="str">
        <x:v>P2_T3_corrected.txt</x:v>
      </x:c>
      <x:c r="D182" s="5" t="str">
        <x:v>mattr50_aw</x:v>
      </x:c>
      <x:c r="E182" s="6" t="n">
        <x:v>0.7008823529411765</x:v>
      </x:c>
      <x:c r="F182" s="6" t="n">
        <x:v>0.7026068376068376</x:v>
      </x:c>
      <x:c r="G182" s="7" t="n">
        <x:f>IF(OR(E182="",F182="",F182=0),"",ABS(E182-F182)/ABS(F182))</x:f>
        <x:v>0.00245440917076029</x:v>
      </x:c>
      <x:c r="H182" s="5" t="str">
        <x:v>TAALED</x:v>
      </x:c>
    </x:row>
    <x:row r="183">
      <x:c r="A183" s="5" t="str">
        <x:v>P2</x:v>
      </x:c>
      <x:c r="B183" s="5" t="str">
        <x:v>PXL_20230420_210851914_transcription.xlsx</x:v>
      </x:c>
      <x:c r="C183" s="5" t="str">
        <x:v>P2_T3_corrected.txt</x:v>
      </x:c>
      <x:c r="D183" s="5" t="str">
        <x:v>msttr50_aw</x:v>
      </x:c>
      <x:c r="E183" s="6" t="n">
        <x:v>0.707</x:v>
      </x:c>
      <x:c r="F183" s="6" t="n">
        <x:v>0.6957894736842104</x:v>
      </x:c>
      <x:c r="G183" s="7" t="n">
        <x:f>IF(OR(E183="",F183="",F183=0),"",ABS(E183-F183)/ABS(F183))</x:f>
        <x:v>0.016111951588502395</x:v>
      </x:c>
      <x:c r="H183" s="5" t="str">
        <x:v>TAALED</x:v>
      </x:c>
    </x:row>
    <x:row r="184">
      <x:c r="A184" s="5" t="str">
        <x:v>P2</x:v>
      </x:c>
      <x:c r="B184" s="5" t="str">
        <x:v>PXL_20230420_210851914_transcription.xlsx</x:v>
      </x:c>
      <x:c r="C184" s="5" t="str">
        <x:v>P2_T3_corrected.txt</x:v>
      </x:c>
      <x:c r="D184" s="5" t="str">
        <x:v>hdd42_aw</x:v>
      </x:c>
      <x:c r="E184" s="6" t="n">
        <x:v>0.7737140525203082</x:v>
      </x:c>
      <x:c r="F184" s="6" t="n">
        <x:v>0.7764986013450671</x:v>
      </x:c>
      <x:c r="G184" s="7" t="n">
        <x:f>IF(OR(E184="",F184="",F184=0),"",ABS(E184-F184)/ABS(F184))</x:f>
        <x:v>0.0035860319901869966</x:v>
      </x:c>
      <x:c r="H184" s="5" t="str">
        <x:v>TAALED</x:v>
      </x:c>
    </x:row>
    <x:row r="185">
      <x:c r="A185" s="5" t="str">
        <x:v>P2</x:v>
      </x:c>
      <x:c r="B185" s="5" t="str">
        <x:v>PXL_20230420_210851914_transcription.xlsx</x:v>
      </x:c>
      <x:c r="C185" s="5" t="str">
        <x:v>P2_T3_corrected.txt</x:v>
      </x:c>
      <x:c r="D185" s="5" t="str">
        <x:v>mtld_original_aw</x:v>
      </x:c>
      <x:c r="E185" s="6" t="n">
        <x:v>41.32906374411871</x:v>
      </x:c>
      <x:c r="F185" s="6" t="n">
        <x:v>41.7913881345613</x:v>
      </x:c>
      <x:c r="G185" s="7" t="n">
        <x:f>IF(OR(E185="",F185="",F185=0),"",ABS(E185-F185)/ABS(F185))</x:f>
        <x:v>0.011062671308116917</x:v>
      </x:c>
      <x:c r="H185" s="5" t="str">
        <x:v>TAALED</x:v>
      </x:c>
    </x:row>
    <x:row r="186">
      <x:c r="A186" s="5" t="str">
        <x:v>P2</x:v>
      </x:c>
      <x:c r="B186" s="5" t="str">
        <x:v>PXL_20230420_210851914_transcription.xlsx</x:v>
      </x:c>
      <x:c r="C186" s="5" t="str">
        <x:v>P2_T3_corrected.txt</x:v>
      </x:c>
      <x:c r="D186" s="5" t="str">
        <x:v>mtld_mean_factor_length_aw</x:v>
      </x:c>
      <x:c r="E186" s="6" t="n">
        <x:v>41.50534798534799</x:v>
      </x:c>
      <x:c r="F186" s="6" t="n">
        <x:v>41.703376068376066</x:v>
      </x:c>
      <x:c r="G186" s="7" t="n">
        <x:f>IF(OR(E186="",F186="",F186=0),"",ABS(E186-F186)/ABS(F186))</x:f>
        <x:v>0.004748490450830516</x:v>
      </x:c>
      <x:c r="H186" s="5" t="str">
        <x:v>TAALED</x:v>
      </x:c>
    </x:row>
    <x:row r="187">
      <x:c r="A187" s="5" t="str">
        <x:v>P2</x:v>
      </x:c>
      <x:c r="B187" s="5" t="str">
        <x:v>PXL_20230420_210851914_transcription.xlsx</x:v>
      </x:c>
      <x:c r="C187" s="5" t="str">
        <x:v>P2_T3_corrected.txt</x:v>
      </x:c>
      <x:c r="D187" s="5" t="str">
        <x:v>total_utterances</x:v>
      </x:c>
      <x:c r="E187" s="6" t="n">
        <x:v>75</x:v>
      </x:c>
      <x:c r="F187" s="6" t="n">
        <x:v>70</x:v>
      </x:c>
      <x:c r="G187" s="7" t="n">
        <x:f>IF(OR(E187="",F187="",F187=0),"",ABS(E187-F187)/ABS(F187))</x:f>
        <x:v>0.07142857142857142</x:v>
      </x:c>
      <x:c r="H187" s="5" t="str">
        <x:v>CLAN</x:v>
      </x:c>
    </x:row>
    <x:row r="188">
      <x:c r="A188" s="5" t="str">
        <x:v>P2</x:v>
      </x:c>
      <x:c r="B188" s="5" t="str">
        <x:v>PXL_20230420_210851914_transcription.xlsx</x:v>
      </x:c>
      <x:c r="C188" s="5" t="str">
        <x:v>P2_T3_corrected.txt</x:v>
      </x:c>
      <x:c r="D188" s="5" t="str">
        <x:v>total_words</x:v>
      </x:c>
      <x:c r="E188" s="6" t="n">
        <x:v>969</x:v>
      </x:c>
      <x:c r="F188" s="6" t="n">
        <x:v>949</x:v>
      </x:c>
      <x:c r="G188" s="7" t="n">
        <x:f>IF(OR(E188="",F188="",F188=0),"",ABS(E188-F188)/ABS(F188))</x:f>
        <x:v>0.02107481559536354</x:v>
      </x:c>
      <x:c r="H188" s="5" t="str">
        <x:v>CLAN</x:v>
      </x:c>
    </x:row>
    <x:row r="189">
      <x:c r="A189" s="5" t="str">
        <x:v>P2</x:v>
      </x:c>
      <x:c r="B189" s="5" t="str">
        <x:v>PXL_20230420_210851914_transcription.xlsx</x:v>
      </x:c>
      <x:c r="C189" s="5" t="str">
        <x:v>P2_T3_corrected.txt</x:v>
      </x:c>
      <x:c r="D189" s="5" t="str">
        <x:v>mlu_words</x:v>
      </x:c>
      <x:c r="E189" s="6" t="n">
        <x:v>12.92</x:v>
      </x:c>
      <x:c r="F189" s="6" t="n">
        <x:v>13.557</x:v>
      </x:c>
      <x:c r="G189" s="7" t="n">
        <x:f>IF(OR(E189="",F189="",F189=0),"",ABS(E189-F189)/ABS(F189))</x:f>
        <x:v>0.04698679648889876</x:v>
      </x:c>
      <x:c r="H189" s="5" t="str">
        <x:v>CLAN</x:v>
      </x:c>
    </x:row>
    <x:row r="190">
      <x:c r="A190" s="5" t="str">
        <x:v>P2</x:v>
      </x:c>
      <x:c r="B190" s="5" t="str">
        <x:v>PXL_20230420_210851914_transcription.xlsx</x:v>
      </x:c>
      <x:c r="C190" s="5" t="str">
        <x:v>P2_T3_corrected.txt</x:v>
      </x:c>
      <x:c r="D190" s="5" t="str">
        <x:v>mlu_words_sd</x:v>
      </x:c>
      <x:c r="E190" s="6" t="n">
        <x:v>9.95022277807554</x:v>
      </x:c>
      <x:c r="F190" s="6" t="n">
        <x:v>9.832</x:v>
      </x:c>
      <x:c r="G190" s="7" t="n">
        <x:f>IF(OR(E190="",F190="",F190=0),"",ABS(E190-F190)/ABS(F190))</x:f>
        <x:v>0.012024285809147618</x:v>
      </x:c>
      <x:c r="H190" s="5" t="str">
        <x:v>CLAN</x:v>
      </x:c>
    </x:row>
    <x:row r="191">
      <x:c r="A191" s="5" t="str">
        <x:v>P2</x:v>
      </x:c>
      <x:c r="B191" s="5" t="str">
        <x:v>PXL_20230420_211736784_transcription.xlsx</x:v>
      </x:c>
      <x:c r="C191" s="5" t="str">
        <x:v>P2_T4_corrected.txt</x:v>
      </x:c>
      <x:c r="D191" s="5" t="str">
        <x:v>basic_ntokens</x:v>
      </x:c>
      <x:c r="E191" s="6" t="n">
        <x:v>1046</x:v>
      </x:c>
      <x:c r="F191" s="6" t="n">
        <x:v>1010</x:v>
      </x:c>
      <x:c r="G191" s="7" t="n">
        <x:f>IF(OR(E191="",F191="",F191=0),"",ABS(E191-F191)/ABS(F191))</x:f>
        <x:v>0.03564356435643564</x:v>
      </x:c>
      <x:c r="H191" s="5" t="str">
        <x:v>TAALED</x:v>
      </x:c>
    </x:row>
    <x:row r="192">
      <x:c r="A192" s="5" t="str">
        <x:v>P2</x:v>
      </x:c>
      <x:c r="B192" s="5" t="str">
        <x:v>PXL_20230420_211736784_transcription.xlsx</x:v>
      </x:c>
      <x:c r="C192" s="5" t="str">
        <x:v>P2_T4_corrected.txt</x:v>
      </x:c>
      <x:c r="D192" s="5" t="str">
        <x:v>basic_ntypes</x:v>
      </x:c>
      <x:c r="E192" s="6" t="n">
        <x:v>331</x:v>
      </x:c>
      <x:c r="F192" s="6" t="n">
        <x:v>327</x:v>
      </x:c>
      <x:c r="G192" s="7" t="n">
        <x:f>IF(OR(E192="",F192="",F192=0),"",ABS(E192-F192)/ABS(F192))</x:f>
        <x:v>0.012232415902140673</x:v>
      </x:c>
      <x:c r="H192" s="5" t="str">
        <x:v>TAALED</x:v>
      </x:c>
    </x:row>
    <x:row r="193">
      <x:c r="A193" s="5" t="str">
        <x:v>P2</x:v>
      </x:c>
      <x:c r="B193" s="5" t="str">
        <x:v>PXL_20230420_211736784_transcription.xlsx</x:v>
      </x:c>
      <x:c r="C193" s="5" t="str">
        <x:v>P2_T4_corrected.txt</x:v>
      </x:c>
      <x:c r="D193" s="5" t="str">
        <x:v>basic_ncontent_tokens</x:v>
      </x:c>
      <x:c r="E193" s="6" t="n">
        <x:v>393</x:v>
      </x:c>
      <x:c r="F193" s="6" t="n">
        <x:v>388</x:v>
      </x:c>
      <x:c r="G193" s="7" t="n">
        <x:f>IF(OR(E193="",F193="",F193=0),"",ABS(E193-F193)/ABS(F193))</x:f>
        <x:v>0.01288659793814433</x:v>
      </x:c>
      <x:c r="H193" s="5" t="str">
        <x:v>TAALED</x:v>
      </x:c>
    </x:row>
    <x:row r="194">
      <x:c r="A194" s="5" t="str">
        <x:v>P2</x:v>
      </x:c>
      <x:c r="B194" s="5" t="str">
        <x:v>PXL_20230420_211736784_transcription.xlsx</x:v>
      </x:c>
      <x:c r="C194" s="5" t="str">
        <x:v>P2_T4_corrected.txt</x:v>
      </x:c>
      <x:c r="D194" s="5" t="str">
        <x:v>basic_ncontent_types</x:v>
      </x:c>
      <x:c r="E194" s="6" t="n">
        <x:v>237</x:v>
      </x:c>
      <x:c r="F194" s="6" t="n">
        <x:v>233</x:v>
      </x:c>
      <x:c r="G194" s="7" t="n">
        <x:f>IF(OR(E194="",F194="",F194=0),"",ABS(E194-F194)/ABS(F194))</x:f>
        <x:v>0.017167381974248927</x:v>
      </x:c>
      <x:c r="H194" s="5" t="str">
        <x:v>TAALED</x:v>
      </x:c>
    </x:row>
    <x:row r="195">
      <x:c r="A195" s="5" t="str">
        <x:v>P2</x:v>
      </x:c>
      <x:c r="B195" s="5" t="str">
        <x:v>PXL_20230420_211736784_transcription.xlsx</x:v>
      </x:c>
      <x:c r="C195" s="5" t="str">
        <x:v>P2_T4_corrected.txt</x:v>
      </x:c>
      <x:c r="D195" s="5" t="str">
        <x:v>basic_nfunction_tokens</x:v>
      </x:c>
      <x:c r="E195" s="6" t="n">
        <x:v>653</x:v>
      </x:c>
      <x:c r="F195" s="6" t="n">
        <x:v>622</x:v>
      </x:c>
      <x:c r="G195" s="7" t="n">
        <x:f>IF(OR(E195="",F195="",F195=0),"",ABS(E195-F195)/ABS(F195))</x:f>
        <x:v>0.04983922829581994</x:v>
      </x:c>
      <x:c r="H195" s="5" t="str">
        <x:v>TAALED</x:v>
      </x:c>
    </x:row>
    <x:row r="196">
      <x:c r="A196" s="5" t="str">
        <x:v>P2</x:v>
      </x:c>
      <x:c r="B196" s="5" t="str">
        <x:v>PXL_20230420_211736784_transcription.xlsx</x:v>
      </x:c>
      <x:c r="C196" s="5" t="str">
        <x:v>P2_T4_corrected.txt</x:v>
      </x:c>
      <x:c r="D196" s="5" t="str">
        <x:v>basic_nfunction_types</x:v>
      </x:c>
      <x:c r="E196" s="6" t="n">
        <x:v>94</x:v>
      </x:c>
      <x:c r="F196" s="6" t="n">
        <x:v>94</x:v>
      </x:c>
      <x:c r="G196" s="7" t="n">
        <x:f>IF(OR(E196="",F196="",F196=0),"",ABS(E196-F196)/ABS(F196))</x:f>
        <x:v>0</x:v>
      </x:c>
      <x:c r="H196" s="5" t="str">
        <x:v>TAALED</x:v>
      </x:c>
    </x:row>
    <x:row r="197">
      <x:c r="A197" s="5" t="str">
        <x:v>P2</x:v>
      </x:c>
      <x:c r="B197" s="5" t="str">
        <x:v>PXL_20230420_211736784_transcription.xlsx</x:v>
      </x:c>
      <x:c r="C197" s="5" t="str">
        <x:v>P2_T4_corrected.txt</x:v>
      </x:c>
      <x:c r="D197" s="5" t="str">
        <x:v>lexical_density_tokens</x:v>
      </x:c>
      <x:c r="E197" s="6" t="n">
        <x:v>0.375717017208413</x:v>
      </x:c>
      <x:c r="F197" s="6" t="n">
        <x:v>0.38415841584158417</x:v>
      </x:c>
      <x:c r="G197" s="7" t="n">
        <x:f>IF(OR(E197="",F197="",F197=0),"",ABS(E197-F197)/ABS(F197))</x:f>
        <x:v>0.02197374386469815</x:v>
      </x:c>
      <x:c r="H197" s="5" t="str">
        <x:v>TAALED</x:v>
      </x:c>
    </x:row>
    <x:row r="198">
      <x:c r="A198" s="5" t="str">
        <x:v>P2</x:v>
      </x:c>
      <x:c r="B198" s="5" t="str">
        <x:v>PXL_20230420_211736784_transcription.xlsx</x:v>
      </x:c>
      <x:c r="C198" s="5" t="str">
        <x:v>P2_T4_corrected.txt</x:v>
      </x:c>
      <x:c r="D198" s="5" t="str">
        <x:v>lexical_density_types</x:v>
      </x:c>
      <x:c r="E198" s="6" t="n">
        <x:v>0.716012084592145</x:v>
      </x:c>
      <x:c r="F198" s="6" t="n">
        <x:v>0.7125382262996942</x:v>
      </x:c>
      <x:c r="G198" s="7" t="n">
        <x:f>IF(OR(E198="",F198="",F198=0),"",ABS(E198-F198)/ABS(F198))</x:f>
        <x:v>0.004875329019877356</x:v>
      </x:c>
      <x:c r="H198" s="5" t="str">
        <x:v>TAALED</x:v>
      </x:c>
    </x:row>
    <x:row r="199">
      <x:c r="A199" s="5" t="str">
        <x:v>P2</x:v>
      </x:c>
      <x:c r="B199" s="5" t="str">
        <x:v>PXL_20230420_211736784_transcription.xlsx</x:v>
      </x:c>
      <x:c r="C199" s="5" t="str">
        <x:v>P2_T4_corrected.txt</x:v>
      </x:c>
      <x:c r="D199" s="5" t="str">
        <x:v>simple_ttr_aw</x:v>
      </x:c>
      <x:c r="E199" s="6" t="n">
        <x:v>0.31644359464627153</x:v>
      </x:c>
      <x:c r="F199" s="6" t="n">
        <x:v>0.3237623762376238</x:v>
      </x:c>
      <x:c r="G199" s="7" t="n">
        <x:f>IF(OR(E199="",F199="",F199=0),"",ABS(E199-F199)/ABS(F199))</x:f>
        <x:v>0.022605411031393772</x:v>
      </x:c>
      <x:c r="H199" s="5" t="str">
        <x:v>TAALED</x:v>
      </x:c>
    </x:row>
    <x:row r="200">
      <x:c r="A200" s="5" t="str">
        <x:v>P2</x:v>
      </x:c>
      <x:c r="B200" s="5" t="str">
        <x:v>PXL_20230420_211736784_transcription.xlsx</x:v>
      </x:c>
      <x:c r="C200" s="5" t="str">
        <x:v>P2_T4_corrected.txt</x:v>
      </x:c>
      <x:c r="D200" s="5" t="str">
        <x:v>root_ttr_aw</x:v>
      </x:c>
      <x:c r="E200" s="6" t="n">
        <x:v>10.23439445340641</x:v>
      </x:c>
      <x:c r="F200" s="6" t="n">
        <x:v>10.289329279875485</x:v>
      </x:c>
      <x:c r="G200" s="7" t="n">
        <x:f>IF(OR(E200="",F200="",F200=0),"",ABS(E200-F200)/ABS(F200))</x:f>
        <x:v>0.005339009470376329</x:v>
      </x:c>
      <x:c r="H200" s="5" t="str">
        <x:v>TAALED</x:v>
      </x:c>
    </x:row>
    <x:row r="201">
      <x:c r="A201" s="5" t="str">
        <x:v>P2</x:v>
      </x:c>
      <x:c r="B201" s="5" t="str">
        <x:v>PXL_20230420_211736784_transcription.xlsx</x:v>
      </x:c>
      <x:c r="C201" s="5" t="str">
        <x:v>P2_T4_corrected.txt</x:v>
      </x:c>
      <x:c r="D201" s="5" t="str">
        <x:v>log_ttr_aw</x:v>
      </x:c>
      <x:c r="E201" s="6" t="n">
        <x:v>0.834509538907816</x:v>
      </x:c>
      <x:c r="F201" s="6" t="n">
        <x:v>0.8369769541313422</x:v>
      </x:c>
      <x:c r="G201" s="7" t="n">
        <x:f>IF(OR(E201="",F201="",F201=0),"",ABS(E201-F201)/ABS(F201))</x:f>
        <x:v>0.002948008557878438</x:v>
      </x:c>
      <x:c r="H201" s="5" t="str">
        <x:v>TAALED</x:v>
      </x:c>
    </x:row>
    <x:row r="202">
      <x:c r="A202" s="5" t="str">
        <x:v>P2</x:v>
      </x:c>
      <x:c r="B202" s="5" t="str">
        <x:v>PXL_20230420_211736784_transcription.xlsx</x:v>
      </x:c>
      <x:c r="C202" s="5" t="str">
        <x:v>P2_T4_corrected.txt</x:v>
      </x:c>
      <x:c r="D202" s="5" t="str">
        <x:v>maas_ttr_aw</x:v>
      </x:c>
      <x:c r="E202" s="6" t="n">
        <x:v>0.05480666486792449</x:v>
      </x:c>
      <x:c r="F202" s="6" t="n">
        <x:v>0.05426285193431247</x:v>
      </x:c>
      <x:c r="G202" s="7" t="n">
        <x:f>IF(OR(E202="",F202="",F202=0),"",ABS(E202-F202)/ABS(F202))</x:f>
        <x:v>0.010021827350142374</x:v>
      </x:c>
      <x:c r="H202" s="5" t="str">
        <x:v>TAALED</x:v>
      </x:c>
    </x:row>
    <x:row r="203">
      <x:c r="A203" s="5" t="str">
        <x:v>P2</x:v>
      </x:c>
      <x:c r="B203" s="5" t="str">
        <x:v>PXL_20230420_211736784_transcription.xlsx</x:v>
      </x:c>
      <x:c r="C203" s="5" t="str">
        <x:v>P2_T4_corrected.txt</x:v>
      </x:c>
      <x:c r="D203" s="5" t="str">
        <x:v>mattr50_aw</x:v>
      </x:c>
      <x:c r="E203" s="6" t="n">
        <x:v>0.6938415245737212</x:v>
      </x:c>
      <x:c r="F203" s="6" t="n">
        <x:v>0.6955463059313215</x:v>
      </x:c>
      <x:c r="G203" s="7" t="n">
        <x:f>IF(OR(E203="",F203="",F203=0),"",ABS(E203-F203)/ABS(F203))</x:f>
        <x:v>0.0024509962069565756</x:v>
      </x:c>
      <x:c r="H203" s="5" t="str">
        <x:v>TAALED</x:v>
      </x:c>
    </x:row>
    <x:row r="204">
      <x:c r="A204" s="5" t="str">
        <x:v>P2</x:v>
      </x:c>
      <x:c r="B204" s="5" t="str">
        <x:v>PXL_20230420_211736784_transcription.xlsx</x:v>
      </x:c>
      <x:c r="C204" s="5" t="str">
        <x:v>P2_T4_corrected.txt</x:v>
      </x:c>
      <x:c r="D204" s="5" t="str">
        <x:v>msttr50_aw</x:v>
      </x:c>
      <x:c r="E204" s="6" t="n">
        <x:v>0.697</x:v>
      </x:c>
      <x:c r="F204" s="6" t="n">
        <x:v>0.7030000000000001</x:v>
      </x:c>
      <x:c r="G204" s="7" t="n">
        <x:f>IF(OR(E204="",F204="",F204=0),"",ABS(E204-F204)/ABS(F204))</x:f>
        <x:v>0.008534850640113962</x:v>
      </x:c>
      <x:c r="H204" s="5" t="str">
        <x:v>TAALED</x:v>
      </x:c>
    </x:row>
    <x:row r="205">
      <x:c r="A205" s="5" t="str">
        <x:v>P2</x:v>
      </x:c>
      <x:c r="B205" s="5" t="str">
        <x:v>PXL_20230420_211736784_transcription.xlsx</x:v>
      </x:c>
      <x:c r="C205" s="5" t="str">
        <x:v>P2_T4_corrected.txt</x:v>
      </x:c>
      <x:c r="D205" s="5" t="str">
        <x:v>hdd42_aw</x:v>
      </x:c>
      <x:c r="E205" s="6" t="n">
        <x:v>0.7794173933214686</x:v>
      </x:c>
      <x:c r="F205" s="6" t="n">
        <x:v>0.7772408326421514</x:v>
      </x:c>
      <x:c r="G205" s="7" t="n">
        <x:f>IF(OR(E205="",F205="",F205=0),"",ABS(E205-F205)/ABS(F205))</x:f>
        <x:v>0.00280036841594936</x:v>
      </x:c>
      <x:c r="H205" s="5" t="str">
        <x:v>TAALED</x:v>
      </x:c>
    </x:row>
    <x:row r="206">
      <x:c r="A206" s="5" t="str">
        <x:v>P2</x:v>
      </x:c>
      <x:c r="B206" s="5" t="str">
        <x:v>PXL_20230420_211736784_transcription.xlsx</x:v>
      </x:c>
      <x:c r="C206" s="5" t="str">
        <x:v>P2_T4_corrected.txt</x:v>
      </x:c>
      <x:c r="D206" s="5" t="str">
        <x:v>mtld_original_aw</x:v>
      </x:c>
      <x:c r="E206" s="6" t="n">
        <x:v>38.41255103791388</x:v>
      </x:c>
      <x:c r="F206" s="6" t="n">
        <x:v>36.911550999567964</x:v>
      </x:c>
      <x:c r="G206" s="7" t="n">
        <x:f>IF(OR(E206="",F206="",F206=0),"",ABS(E206-F206)/ABS(F206))</x:f>
        <x:v>0.04066477830648414</x:v>
      </x:c>
      <x:c r="H206" s="5" t="str">
        <x:v>TAALED</x:v>
      </x:c>
    </x:row>
    <x:row r="207">
      <x:c r="A207" s="5" t="str">
        <x:v>P2</x:v>
      </x:c>
      <x:c r="B207" s="5" t="str">
        <x:v>PXL_20230420_211736784_transcription.xlsx</x:v>
      </x:c>
      <x:c r="C207" s="5" t="str">
        <x:v>P2_T4_corrected.txt</x:v>
      </x:c>
      <x:c r="D207" s="5" t="str">
        <x:v>mtld_mean_factor_length_aw</x:v>
      </x:c>
      <x:c r="E207" s="6" t="n">
        <x:v>38.39563636363636</x:v>
      </x:c>
      <x:c r="F207" s="6" t="n">
        <x:v>36.73163636363636</x:v>
      </x:c>
      <x:c r="G207" s="7" t="n">
        <x:f>IF(OR(E207="",F207="",F207=0),"",ABS(E207-F207)/ABS(F207))</x:f>
        <x:v>0.04530154833089142</x:v>
      </x:c>
      <x:c r="H207" s="5" t="str">
        <x:v>TAALED</x:v>
      </x:c>
    </x:row>
    <x:row r="208">
      <x:c r="A208" s="5" t="str">
        <x:v>P2</x:v>
      </x:c>
      <x:c r="B208" s="5" t="str">
        <x:v>PXL_20230420_211736784_transcription.xlsx</x:v>
      </x:c>
      <x:c r="C208" s="5" t="str">
        <x:v>P2_T4_corrected.txt</x:v>
      </x:c>
      <x:c r="D208" s="5" t="str">
        <x:v>total_utterances</x:v>
      </x:c>
      <x:c r="E208" s="6" t="n">
        <x:v>107</x:v>
      </x:c>
      <x:c r="F208" s="6" t="n">
        <x:v>84</x:v>
      </x:c>
      <x:c r="G208" s="7" t="n">
        <x:f>IF(OR(E208="",F208="",F208=0),"",ABS(E208-F208)/ABS(F208))</x:f>
        <x:v>0.27380952380952384</x:v>
      </x:c>
      <x:c r="H208" s="5" t="str">
        <x:v>CLAN</x:v>
      </x:c>
    </x:row>
    <x:row r="209">
      <x:c r="A209" s="5" t="str">
        <x:v>P2</x:v>
      </x:c>
      <x:c r="B209" s="5" t="str">
        <x:v>PXL_20230420_211736784_transcription.xlsx</x:v>
      </x:c>
      <x:c r="C209" s="5" t="str">
        <x:v>P2_T4_corrected.txt</x:v>
      </x:c>
      <x:c r="D209" s="5" t="str">
        <x:v>total_words</x:v>
      </x:c>
      <x:c r="E209" s="6" t="n">
        <x:v>1004</x:v>
      </x:c>
      <x:c r="F209" s="6" t="n">
        <x:v>968</x:v>
      </x:c>
      <x:c r="G209" s="7" t="n">
        <x:f>IF(OR(E209="",F209="",F209=0),"",ABS(E209-F209)/ABS(F209))</x:f>
        <x:v>0.0371900826446281</x:v>
      </x:c>
      <x:c r="H209" s="5" t="str">
        <x:v>CLAN</x:v>
      </x:c>
    </x:row>
    <x:row r="210">
      <x:c r="A210" s="5" t="str">
        <x:v>P2</x:v>
      </x:c>
      <x:c r="B210" s="5" t="str">
        <x:v>PXL_20230420_211736784_transcription.xlsx</x:v>
      </x:c>
      <x:c r="C210" s="5" t="str">
        <x:v>P2_T4_corrected.txt</x:v>
      </x:c>
      <x:c r="D210" s="5" t="str">
        <x:v>mlu_words</x:v>
      </x:c>
      <x:c r="E210" s="6" t="n">
        <x:v>9.383177570093459</x:v>
      </x:c>
      <x:c r="F210" s="6" t="n">
        <x:v>11.524</x:v>
      </x:c>
      <x:c r="G210" s="7" t="n">
        <x:f>IF(OR(E210="",F210="",F210=0),"",ABS(E210-F210)/ABS(F210))</x:f>
        <x:v>0.18577077663194558</x:v>
      </x:c>
      <x:c r="H210" s="5" t="str">
        <x:v>CLAN</x:v>
      </x:c>
    </x:row>
    <x:row r="211">
      <x:c r="A211" s="5" t="str">
        <x:v>P2</x:v>
      </x:c>
      <x:c r="B211" s="5" t="str">
        <x:v>PXL_20230420_211736784_transcription.xlsx</x:v>
      </x:c>
      <x:c r="C211" s="5" t="str">
        <x:v>P2_T4_corrected.txt</x:v>
      </x:c>
      <x:c r="D211" s="5" t="str">
        <x:v>mlu_words_sd</x:v>
      </x:c>
      <x:c r="E211" s="6" t="n">
        <x:v>9.518938191603707</x:v>
      </x:c>
      <x:c r="F211" s="6" t="n">
        <x:v>8.57</x:v>
      </x:c>
      <x:c r="G211" s="7" t="n">
        <x:f>IF(OR(E211="",F211="",F211=0),"",ABS(E211-F211)/ABS(F211))</x:f>
        <x:v>0.1107279103388223</x:v>
      </x:c>
      <x:c r="H211" s="5" t="str">
        <x:v>CLAN</x:v>
      </x:c>
    </x:row>
    <x:row r="212">
      <x:c r="A212" s="5" t="str">
        <x:v>P3</x:v>
      </x:c>
      <x:c r="B212" s="5" t="str">
        <x:v>PXL_20230420_214504953_transcription.xlsx</x:v>
      </x:c>
      <x:c r="C212" s="5" t="str">
        <x:v>P3_T1_corrected.txt</x:v>
      </x:c>
      <x:c r="D212" s="5" t="str">
        <x:v>basic_ntokens</x:v>
      </x:c>
      <x:c r="E212" s="6" t="n">
        <x:v>1110</x:v>
      </x:c>
      <x:c r="F212" s="6" t="n">
        <x:v>1076</x:v>
      </x:c>
      <x:c r="G212" s="7" t="n">
        <x:f>IF(OR(E212="",F212="",F212=0),"",ABS(E212-F212)/ABS(F212))</x:f>
        <x:v>0.031598513011152414</x:v>
      </x:c>
      <x:c r="H212" s="5" t="str">
        <x:v>TAALED</x:v>
      </x:c>
    </x:row>
    <x:row r="213">
      <x:c r="A213" s="5" t="str">
        <x:v>P3</x:v>
      </x:c>
      <x:c r="B213" s="5" t="str">
        <x:v>PXL_20230420_214504953_transcription.xlsx</x:v>
      </x:c>
      <x:c r="C213" s="5" t="str">
        <x:v>P3_T1_corrected.txt</x:v>
      </x:c>
      <x:c r="D213" s="5" t="str">
        <x:v>basic_ntypes</x:v>
      </x:c>
      <x:c r="E213" s="6" t="n">
        <x:v>297</x:v>
      </x:c>
      <x:c r="F213" s="6" t="n">
        <x:v>296</x:v>
      </x:c>
      <x:c r="G213" s="7" t="n">
        <x:f>IF(OR(E213="",F213="",F213=0),"",ABS(E213-F213)/ABS(F213))</x:f>
        <x:v>0.0033783783783783786</x:v>
      </x:c>
      <x:c r="H213" s="5" t="str">
        <x:v>TAALED</x:v>
      </x:c>
    </x:row>
    <x:row r="214">
      <x:c r="A214" s="5" t="str">
        <x:v>P3</x:v>
      </x:c>
      <x:c r="B214" s="5" t="str">
        <x:v>PXL_20230420_214504953_transcription.xlsx</x:v>
      </x:c>
      <x:c r="C214" s="5" t="str">
        <x:v>P3_T1_corrected.txt</x:v>
      </x:c>
      <x:c r="D214" s="5" t="str">
        <x:v>basic_ncontent_tokens</x:v>
      </x:c>
      <x:c r="E214" s="6" t="n">
        <x:v>374</x:v>
      </x:c>
      <x:c r="F214" s="6" t="n">
        <x:v>376</x:v>
      </x:c>
      <x:c r="G214" s="7" t="n">
        <x:f>IF(OR(E214="",F214="",F214=0),"",ABS(E214-F214)/ABS(F214))</x:f>
        <x:v>0.005319148936170213</x:v>
      </x:c>
      <x:c r="H214" s="5" t="str">
        <x:v>TAALED</x:v>
      </x:c>
    </x:row>
    <x:row r="215">
      <x:c r="A215" s="5" t="str">
        <x:v>P3</x:v>
      </x:c>
      <x:c r="B215" s="5" t="str">
        <x:v>PXL_20230420_214504953_transcription.xlsx</x:v>
      </x:c>
      <x:c r="C215" s="5" t="str">
        <x:v>P3_T1_corrected.txt</x:v>
      </x:c>
      <x:c r="D215" s="5" t="str">
        <x:v>basic_ncontent_types</x:v>
      </x:c>
      <x:c r="E215" s="6" t="n">
        <x:v>177</x:v>
      </x:c>
      <x:c r="F215" s="6" t="n">
        <x:v>178</x:v>
      </x:c>
      <x:c r="G215" s="7" t="n">
        <x:f>IF(OR(E215="",F215="",F215=0),"",ABS(E215-F215)/ABS(F215))</x:f>
        <x:v>0.0056179775280898875</x:v>
      </x:c>
      <x:c r="H215" s="5" t="str">
        <x:v>TAALED</x:v>
      </x:c>
    </x:row>
    <x:row r="216">
      <x:c r="A216" s="5" t="str">
        <x:v>P3</x:v>
      </x:c>
      <x:c r="B216" s="5" t="str">
        <x:v>PXL_20230420_214504953_transcription.xlsx</x:v>
      </x:c>
      <x:c r="C216" s="5" t="str">
        <x:v>P3_T1_corrected.txt</x:v>
      </x:c>
      <x:c r="D216" s="5" t="str">
        <x:v>basic_nfunction_tokens</x:v>
      </x:c>
      <x:c r="E216" s="6" t="n">
        <x:v>736</x:v>
      </x:c>
      <x:c r="F216" s="6" t="n">
        <x:v>700</x:v>
      </x:c>
      <x:c r="G216" s="7" t="n">
        <x:f>IF(OR(E216="",F216="",F216=0),"",ABS(E216-F216)/ABS(F216))</x:f>
        <x:v>0.05142857142857143</x:v>
      </x:c>
      <x:c r="H216" s="5" t="str">
        <x:v>TAALED</x:v>
      </x:c>
    </x:row>
    <x:row r="217">
      <x:c r="A217" s="5" t="str">
        <x:v>P3</x:v>
      </x:c>
      <x:c r="B217" s="5" t="str">
        <x:v>PXL_20230420_214504953_transcription.xlsx</x:v>
      </x:c>
      <x:c r="C217" s="5" t="str">
        <x:v>P3_T1_corrected.txt</x:v>
      </x:c>
      <x:c r="D217" s="5" t="str">
        <x:v>basic_nfunction_types</x:v>
      </x:c>
      <x:c r="E217" s="6" t="n">
        <x:v>120</x:v>
      </x:c>
      <x:c r="F217" s="6" t="n">
        <x:v>118</x:v>
      </x:c>
      <x:c r="G217" s="7" t="n">
        <x:f>IF(OR(E217="",F217="",F217=0),"",ABS(E217-F217)/ABS(F217))</x:f>
        <x:v>0.01694915254237288</x:v>
      </x:c>
      <x:c r="H217" s="5" t="str">
        <x:v>TAALED</x:v>
      </x:c>
    </x:row>
    <x:row r="218">
      <x:c r="A218" s="5" t="str">
        <x:v>P3</x:v>
      </x:c>
      <x:c r="B218" s="5" t="str">
        <x:v>PXL_20230420_214504953_transcription.xlsx</x:v>
      </x:c>
      <x:c r="C218" s="5" t="str">
        <x:v>P3_T1_corrected.txt</x:v>
      </x:c>
      <x:c r="D218" s="5" t="str">
        <x:v>lexical_density_tokens</x:v>
      </x:c>
      <x:c r="E218" s="6" t="n">
        <x:v>0.33693693693693694</x:v>
      </x:c>
      <x:c r="F218" s="6" t="n">
        <x:v>0.34944237918215615</x:v>
      </x:c>
      <x:c r="G218" s="7" t="n">
        <x:f>IF(OR(E218="",F218="",F218=0),"",ABS(E218-F218)/ABS(F218))</x:f>
        <x:v>0.03578685068046774</x:v>
      </x:c>
      <x:c r="H218" s="5" t="str">
        <x:v>TAALED</x:v>
      </x:c>
    </x:row>
    <x:row r="219">
      <x:c r="A219" s="5" t="str">
        <x:v>P3</x:v>
      </x:c>
      <x:c r="B219" s="5" t="str">
        <x:v>PXL_20230420_214504953_transcription.xlsx</x:v>
      </x:c>
      <x:c r="C219" s="5" t="str">
        <x:v>P3_T1_corrected.txt</x:v>
      </x:c>
      <x:c r="D219" s="5" t="str">
        <x:v>lexical_density_types</x:v>
      </x:c>
      <x:c r="E219" s="6" t="n">
        <x:v>0.5959595959595959</x:v>
      </x:c>
      <x:c r="F219" s="6" t="n">
        <x:v>0.6013513513513513</x:v>
      </x:c>
      <x:c r="G219" s="7" t="n">
        <x:f>IF(OR(E219="",F219="",F219=0),"",ABS(E219-F219)/ABS(F219))</x:f>
        <x:v>0.008966065145840448</x:v>
      </x:c>
      <x:c r="H219" s="5" t="str">
        <x:v>TAALED</x:v>
      </x:c>
    </x:row>
    <x:row r="220">
      <x:c r="A220" s="5" t="str">
        <x:v>P3</x:v>
      </x:c>
      <x:c r="B220" s="5" t="str">
        <x:v>PXL_20230420_214504953_transcription.xlsx</x:v>
      </x:c>
      <x:c r="C220" s="5" t="str">
        <x:v>P3_T1_corrected.txt</x:v>
      </x:c>
      <x:c r="D220" s="5" t="str">
        <x:v>simple_ttr_aw</x:v>
      </x:c>
      <x:c r="E220" s="6" t="n">
        <x:v>0.26756756756756755</x:v>
      </x:c>
      <x:c r="F220" s="6" t="n">
        <x:v>0.275092936802974</x:v>
      </x:c>
      <x:c r="G220" s="7" t="n">
        <x:f>IF(OR(E220="",F220="",F220=0),"",ABS(E220-F220)/ABS(F220))</x:f>
        <x:v>0.02735573411249091</x:v>
      </x:c>
      <x:c r="H220" s="5" t="str">
        <x:v>TAALED</x:v>
      </x:c>
    </x:row>
    <x:row r="221">
      <x:c r="A221" s="5" t="str">
        <x:v>P3</x:v>
      </x:c>
      <x:c r="B221" s="5" t="str">
        <x:v>PXL_20230420_214504953_transcription.xlsx</x:v>
      </x:c>
      <x:c r="C221" s="5" t="str">
        <x:v>P3_T1_corrected.txt</x:v>
      </x:c>
      <x:c r="D221" s="5" t="str">
        <x:v>root_ttr_aw</x:v>
      </x:c>
      <x:c r="E221" s="6" t="n">
        <x:v>8.914458344036813</x:v>
      </x:c>
      <x:c r="F221" s="6" t="n">
        <x:v>9.023719260575447</x:v>
      </x:c>
      <x:c r="G221" s="7" t="n">
        <x:f>IF(OR(E221="",F221="",F221=0),"",ABS(E221-F221)/ABS(F221))</x:f>
        <x:v>0.012108191022297673</x:v>
      </x:c>
      <x:c r="H221" s="5" t="str">
        <x:v>TAALED</x:v>
      </x:c>
    </x:row>
    <x:row r="222">
      <x:c r="A222" s="5" t="str">
        <x:v>P3</x:v>
      </x:c>
      <x:c r="B222" s="5" t="str">
        <x:v>PXL_20230420_214504953_transcription.xlsx</x:v>
      </x:c>
      <x:c r="C222" s="5" t="str">
        <x:v>P3_T1_corrected.txt</x:v>
      </x:c>
      <x:c r="D222" s="5" t="str">
        <x:v>log_ttr_aw</x:v>
      </x:c>
      <x:c r="E222" s="6" t="n">
        <x:v>0.8119849574387108</x:v>
      </x:c>
      <x:c r="F222" s="6" t="n">
        <x:v>0.8151202943625948</x:v>
      </x:c>
      <x:c r="G222" s="7" t="n">
        <x:f>IF(OR(E222="",F222="",F222=0),"",ABS(E222-F222)/ABS(F222))</x:f>
        <x:v>0.0038464714295155344</x:v>
      </x:c>
      <x:c r="H222" s="5" t="str">
        <x:v>TAALED</x:v>
      </x:c>
    </x:row>
    <x:row r="223">
      <x:c r="A223" s="5" t="str">
        <x:v>P3</x:v>
      </x:c>
      <x:c r="B223" s="5" t="str">
        <x:v>PXL_20230420_214504953_transcription.xlsx</x:v>
      </x:c>
      <x:c r="C223" s="5" t="str">
        <x:v>P3_T1_corrected.txt</x:v>
      </x:c>
      <x:c r="D223" s="5" t="str">
        <x:v>maas_ttr_aw</x:v>
      </x:c>
      <x:c r="E223" s="6" t="n">
        <x:v>0.0617389498161537</x:v>
      </x:c>
      <x:c r="F223" s="6" t="n">
        <x:v>0.06097993183340448</x:v>
      </x:c>
      <x:c r="G223" s="7" t="n">
        <x:f>IF(OR(E223="",F223="",F223=0),"",ABS(E223-F223)/ABS(F223))</x:f>
        <x:v>0.012447012647092482</x:v>
      </x:c>
      <x:c r="H223" s="5" t="str">
        <x:v>TAALED</x:v>
      </x:c>
    </x:row>
    <x:row r="224">
      <x:c r="A224" s="5" t="str">
        <x:v>P3</x:v>
      </x:c>
      <x:c r="B224" s="5" t="str">
        <x:v>PXL_20230420_214504953_transcription.xlsx</x:v>
      </x:c>
      <x:c r="C224" s="5" t="str">
        <x:v>P3_T1_corrected.txt</x:v>
      </x:c>
      <x:c r="D224" s="5" t="str">
        <x:v>mattr50_aw</x:v>
      </x:c>
      <x:c r="E224" s="6" t="n">
        <x:v>0.7212064090480679</x:v>
      </x:c>
      <x:c r="F224" s="6" t="n">
        <x:v>0.725141187925998</x:v>
      </x:c>
      <x:c r="G224" s="7" t="n">
        <x:f>IF(OR(E224="",F224="",F224=0),"",ABS(E224-F224)/ABS(F224))</x:f>
        <x:v>0.005426224497306719</x:v>
      </x:c>
      <x:c r="H224" s="5" t="str">
        <x:v>TAALED</x:v>
      </x:c>
    </x:row>
    <x:row r="225">
      <x:c r="A225" s="5" t="str">
        <x:v>P3</x:v>
      </x:c>
      <x:c r="B225" s="5" t="str">
        <x:v>PXL_20230420_214504953_transcription.xlsx</x:v>
      </x:c>
      <x:c r="C225" s="5" t="str">
        <x:v>P3_T1_corrected.txt</x:v>
      </x:c>
      <x:c r="D225" s="5" t="str">
        <x:v>msttr50_aw</x:v>
      </x:c>
      <x:c r="E225" s="6" t="n">
        <x:v>0.7154545454545455</x:v>
      </x:c>
      <x:c r="F225" s="6" t="n">
        <x:v>0.720952380952381</x:v>
      </x:c>
      <x:c r="G225" s="7" t="n">
        <x:f>IF(OR(E225="",F225="",F225=0),"",ABS(E225-F225)/ABS(F225))</x:f>
        <x:v>0.007625795604659623</x:v>
      </x:c>
      <x:c r="H225" s="5" t="str">
        <x:v>TAALED</x:v>
      </x:c>
    </x:row>
    <x:row r="226">
      <x:c r="A226" s="5" t="str">
        <x:v>P3</x:v>
      </x:c>
      <x:c r="B226" s="5" t="str">
        <x:v>PXL_20230420_214504953_transcription.xlsx</x:v>
      </x:c>
      <x:c r="C226" s="5" t="str">
        <x:v>P3_T1_corrected.txt</x:v>
      </x:c>
      <x:c r="D226" s="5" t="str">
        <x:v>hdd42_aw</x:v>
      </x:c>
      <x:c r="E226" s="6" t="n">
        <x:v>0.8006857701774959</x:v>
      </x:c>
      <x:c r="F226" s="6" t="n">
        <x:v>0.8032296971102979</x:v>
      </x:c>
      <x:c r="G226" s="7" t="n">
        <x:f>IF(OR(E226="",F226="",F226=0),"",ABS(E226-F226)/ABS(F226))</x:f>
        <x:v>0.0031671226075854425</x:v>
      </x:c>
      <x:c r="H226" s="5" t="str">
        <x:v>TAALED</x:v>
      </x:c>
    </x:row>
    <x:row r="227">
      <x:c r="A227" s="5" t="str">
        <x:v>P3</x:v>
      </x:c>
      <x:c r="B227" s="5" t="str">
        <x:v>PXL_20230420_214504953_transcription.xlsx</x:v>
      </x:c>
      <x:c r="C227" s="5" t="str">
        <x:v>P3_T1_corrected.txt</x:v>
      </x:c>
      <x:c r="D227" s="5" t="str">
        <x:v>mtld_original_aw</x:v>
      </x:c>
      <x:c r="E227" s="6" t="n">
        <x:v>46.73786540033474</x:v>
      </x:c>
      <x:c r="F227" s="6" t="n">
        <x:v>46.172697756253285</x:v>
      </x:c>
      <x:c r="G227" s="7" t="n">
        <x:f>IF(OR(E227="",F227="",F227=0),"",ABS(E227-F227)/ABS(F227))</x:f>
        <x:v>0.012240299387854446</x:v>
      </x:c>
      <x:c r="H227" s="5" t="str">
        <x:v>TAALED</x:v>
      </x:c>
    </x:row>
    <x:row r="228">
      <x:c r="A228" s="5" t="str">
        <x:v>P3</x:v>
      </x:c>
      <x:c r="B228" s="5" t="str">
        <x:v>PXL_20230420_214504953_transcription.xlsx</x:v>
      </x:c>
      <x:c r="C228" s="5" t="str">
        <x:v>P3_T1_corrected.txt</x:v>
      </x:c>
      <x:c r="D228" s="5" t="str">
        <x:v>mtld_mean_factor_length_aw</x:v>
      </x:c>
      <x:c r="E228" s="6" t="n">
        <x:v>46.61083333333333</x:v>
      </x:c>
      <x:c r="F228" s="6" t="n">
        <x:v>46.1084255319149</x:v>
      </x:c>
      <x:c r="G228" s="7" t="n">
        <x:f>IF(OR(E228="",F228="",F228=0),"",ABS(E228-F228)/ABS(F228))</x:f>
        <x:v>0.010896225486395832</x:v>
      </x:c>
      <x:c r="H228" s="5" t="str">
        <x:v>TAALED</x:v>
      </x:c>
    </x:row>
    <x:row r="229">
      <x:c r="A229" s="5" t="str">
        <x:v>P3</x:v>
      </x:c>
      <x:c r="B229" s="5" t="str">
        <x:v>PXL_20230420_214504953_transcription.xlsx</x:v>
      </x:c>
      <x:c r="C229" s="5" t="str">
        <x:v>P3_T1_corrected.txt</x:v>
      </x:c>
      <x:c r="D229" s="5" t="str">
        <x:v>total_utterances</x:v>
      </x:c>
      <x:c r="E229" s="6" t="n">
        <x:v>92</x:v>
      </x:c>
      <x:c r="F229" s="6" t="n">
        <x:v>72</x:v>
      </x:c>
      <x:c r="G229" s="7" t="n">
        <x:f>IF(OR(E229="",F229="",F229=0),"",ABS(E229-F229)/ABS(F229))</x:f>
        <x:v>0.2777777777777778</x:v>
      </x:c>
      <x:c r="H229" s="5" t="str">
        <x:v>CLAN</x:v>
      </x:c>
    </x:row>
    <x:row r="230">
      <x:c r="A230" s="5" t="str">
        <x:v>P3</x:v>
      </x:c>
      <x:c r="B230" s="5" t="str">
        <x:v>PXL_20230420_214504953_transcription.xlsx</x:v>
      </x:c>
      <x:c r="C230" s="5" t="str">
        <x:v>P3_T1_corrected.txt</x:v>
      </x:c>
      <x:c r="D230" s="5" t="str">
        <x:v>total_words</x:v>
      </x:c>
      <x:c r="E230" s="6" t="n">
        <x:v>1061</x:v>
      </x:c>
      <x:c r="F230" s="6" t="n">
        <x:v>1030</x:v>
      </x:c>
      <x:c r="G230" s="7" t="n">
        <x:f>IF(OR(E230="",F230="",F230=0),"",ABS(E230-F230)/ABS(F230))</x:f>
        <x:v>0.030097087378640777</x:v>
      </x:c>
      <x:c r="H230" s="5" t="str">
        <x:v>CLAN</x:v>
      </x:c>
    </x:row>
    <x:row r="231">
      <x:c r="A231" s="5" t="str">
        <x:v>P3</x:v>
      </x:c>
      <x:c r="B231" s="5" t="str">
        <x:v>PXL_20230420_214504953_transcription.xlsx</x:v>
      </x:c>
      <x:c r="C231" s="5" t="str">
        <x:v>P3_T1_corrected.txt</x:v>
      </x:c>
      <x:c r="D231" s="5" t="str">
        <x:v>mlu_words</x:v>
      </x:c>
      <x:c r="E231" s="6" t="n">
        <x:v>11.532608695652174</x:v>
      </x:c>
      <x:c r="F231" s="6" t="n">
        <x:v>14.306</x:v>
      </x:c>
      <x:c r="G231" s="7" t="n">
        <x:f>IF(OR(E231="",F231="",F231=0),"",ABS(E231-F231)/ABS(F231))</x:f>
        <x:v>0.19386210711224838</x:v>
      </x:c>
      <x:c r="H231" s="5" t="str">
        <x:v>CLAN</x:v>
      </x:c>
    </x:row>
    <x:row r="232">
      <x:c r="A232" s="5" t="str">
        <x:v>P3</x:v>
      </x:c>
      <x:c r="B232" s="5" t="str">
        <x:v>PXL_20230420_214504953_transcription.xlsx</x:v>
      </x:c>
      <x:c r="C232" s="5" t="str">
        <x:v>P3_T1_corrected.txt</x:v>
      </x:c>
      <x:c r="D232" s="5" t="str">
        <x:v>mlu_words_sd</x:v>
      </x:c>
      <x:c r="E232" s="6" t="n">
        <x:v>8.062865882438158</x:v>
      </x:c>
      <x:c r="F232" s="6" t="n">
        <x:v>8.817</x:v>
      </x:c>
      <x:c r="G232" s="7" t="n">
        <x:f>IF(OR(E232="",F232="",F232=0),"",ABS(E232-F232)/ABS(F232))</x:f>
        <x:v>0.08553182687556331</x:v>
      </x:c>
      <x:c r="H232" s="5" t="str">
        <x:v>CLAN</x:v>
      </x:c>
    </x:row>
    <x:row r="233">
      <x:c r="A233" s="5" t="str">
        <x:v>P3</x:v>
      </x:c>
      <x:c r="B233" s="5" t="str">
        <x:v>PXL_20230420_215412046_transcription.xlsx</x:v>
      </x:c>
      <x:c r="C233" s="5" t="str">
        <x:v>P3_T2_corrected.txt</x:v>
      </x:c>
      <x:c r="D233" s="5" t="str">
        <x:v>basic_ntokens</x:v>
      </x:c>
      <x:c r="E233" s="6" t="n">
        <x:v>1200</x:v>
      </x:c>
      <x:c r="F233" s="6" t="n">
        <x:v>1143</x:v>
      </x:c>
      <x:c r="G233" s="7" t="n">
        <x:f>IF(OR(E233="",F233="",F233=0),"",ABS(E233-F233)/ABS(F233))</x:f>
        <x:v>0.049868766404199474</x:v>
      </x:c>
      <x:c r="H233" s="5" t="str">
        <x:v>TAALED</x:v>
      </x:c>
    </x:row>
    <x:row r="234">
      <x:c r="A234" s="5" t="str">
        <x:v>P3</x:v>
      </x:c>
      <x:c r="B234" s="5" t="str">
        <x:v>PXL_20230420_215412046_transcription.xlsx</x:v>
      </x:c>
      <x:c r="C234" s="5" t="str">
        <x:v>P3_T2_corrected.txt</x:v>
      </x:c>
      <x:c r="D234" s="5" t="str">
        <x:v>basic_ntypes</x:v>
      </x:c>
      <x:c r="E234" s="6" t="n">
        <x:v>318</x:v>
      </x:c>
      <x:c r="F234" s="6" t="n">
        <x:v>317</x:v>
      </x:c>
      <x:c r="G234" s="7" t="n">
        <x:f>IF(OR(E234="",F234="",F234=0),"",ABS(E234-F234)/ABS(F234))</x:f>
        <x:v>0.0031545741324921135</x:v>
      </x:c>
      <x:c r="H234" s="5" t="str">
        <x:v>TAALED</x:v>
      </x:c>
    </x:row>
    <x:row r="235">
      <x:c r="A235" s="5" t="str">
        <x:v>P3</x:v>
      </x:c>
      <x:c r="B235" s="5" t="str">
        <x:v>PXL_20230420_215412046_transcription.xlsx</x:v>
      </x:c>
      <x:c r="C235" s="5" t="str">
        <x:v>P3_T2_corrected.txt</x:v>
      </x:c>
      <x:c r="D235" s="5" t="str">
        <x:v>basic_ncontent_tokens</x:v>
      </x:c>
      <x:c r="E235" s="6" t="n">
        <x:v>409</x:v>
      </x:c>
      <x:c r="F235" s="6" t="n">
        <x:v>402</x:v>
      </x:c>
      <x:c r="G235" s="7" t="n">
        <x:f>IF(OR(E235="",F235="",F235=0),"",ABS(E235-F235)/ABS(F235))</x:f>
        <x:v>0.017412935323383085</x:v>
      </x:c>
      <x:c r="H235" s="5" t="str">
        <x:v>TAALED</x:v>
      </x:c>
    </x:row>
    <x:row r="236">
      <x:c r="A236" s="5" t="str">
        <x:v>P3</x:v>
      </x:c>
      <x:c r="B236" s="5" t="str">
        <x:v>PXL_20230420_215412046_transcription.xlsx</x:v>
      </x:c>
      <x:c r="C236" s="5" t="str">
        <x:v>P3_T2_corrected.txt</x:v>
      </x:c>
      <x:c r="D236" s="5" t="str">
        <x:v>basic_ncontent_types</x:v>
      </x:c>
      <x:c r="E236" s="6" t="n">
        <x:v>216</x:v>
      </x:c>
      <x:c r="F236" s="6" t="n">
        <x:v>215</x:v>
      </x:c>
      <x:c r="G236" s="7" t="n">
        <x:f>IF(OR(E236="",F236="",F236=0),"",ABS(E236-F236)/ABS(F236))</x:f>
        <x:v>0.004651162790697674</x:v>
      </x:c>
      <x:c r="H236" s="5" t="str">
        <x:v>TAALED</x:v>
      </x:c>
    </x:row>
    <x:row r="237">
      <x:c r="A237" s="5" t="str">
        <x:v>P3</x:v>
      </x:c>
      <x:c r="B237" s="5" t="str">
        <x:v>PXL_20230420_215412046_transcription.xlsx</x:v>
      </x:c>
      <x:c r="C237" s="5" t="str">
        <x:v>P3_T2_corrected.txt</x:v>
      </x:c>
      <x:c r="D237" s="5" t="str">
        <x:v>basic_nfunction_tokens</x:v>
      </x:c>
      <x:c r="E237" s="6" t="n">
        <x:v>791</x:v>
      </x:c>
      <x:c r="F237" s="6" t="n">
        <x:v>741</x:v>
      </x:c>
      <x:c r="G237" s="7" t="n">
        <x:f>IF(OR(E237="",F237="",F237=0),"",ABS(E237-F237)/ABS(F237))</x:f>
        <x:v>0.06747638326585695</x:v>
      </x:c>
      <x:c r="H237" s="5" t="str">
        <x:v>TAALED</x:v>
      </x:c>
    </x:row>
    <x:row r="238">
      <x:c r="A238" s="5" t="str">
        <x:v>P3</x:v>
      </x:c>
      <x:c r="B238" s="5" t="str">
        <x:v>PXL_20230420_215412046_transcription.xlsx</x:v>
      </x:c>
      <x:c r="C238" s="5" t="str">
        <x:v>P3_T2_corrected.txt</x:v>
      </x:c>
      <x:c r="D238" s="5" t="str">
        <x:v>basic_nfunction_types</x:v>
      </x:c>
      <x:c r="E238" s="6" t="n">
        <x:v>102</x:v>
      </x:c>
      <x:c r="F238" s="6" t="n">
        <x:v>102</x:v>
      </x:c>
      <x:c r="G238" s="7" t="n">
        <x:f>IF(OR(E238="",F238="",F238=0),"",ABS(E238-F238)/ABS(F238))</x:f>
        <x:v>0</x:v>
      </x:c>
      <x:c r="H238" s="5" t="str">
        <x:v>TAALED</x:v>
      </x:c>
    </x:row>
    <x:row r="239">
      <x:c r="A239" s="5" t="str">
        <x:v>P3</x:v>
      </x:c>
      <x:c r="B239" s="5" t="str">
        <x:v>PXL_20230420_215412046_transcription.xlsx</x:v>
      </x:c>
      <x:c r="C239" s="5" t="str">
        <x:v>P3_T2_corrected.txt</x:v>
      </x:c>
      <x:c r="D239" s="5" t="str">
        <x:v>lexical_density_tokens</x:v>
      </x:c>
      <x:c r="E239" s="6" t="n">
        <x:v>0.3408333333333333</x:v>
      </x:c>
      <x:c r="F239" s="6" t="n">
        <x:v>0.35170603674540685</x:v>
      </x:c>
      <x:c r="G239" s="7" t="n">
        <x:f>IF(OR(E239="",F239="",F239=0),"",ABS(E239-F239)/ABS(F239))</x:f>
        <x:v>0.030914179104477708</x:v>
      </x:c>
      <x:c r="H239" s="5" t="str">
        <x:v>TAALED</x:v>
      </x:c>
    </x:row>
    <x:row r="240">
      <x:c r="A240" s="5" t="str">
        <x:v>P3</x:v>
      </x:c>
      <x:c r="B240" s="5" t="str">
        <x:v>PXL_20230420_215412046_transcription.xlsx</x:v>
      </x:c>
      <x:c r="C240" s="5" t="str">
        <x:v>P3_T2_corrected.txt</x:v>
      </x:c>
      <x:c r="D240" s="5" t="str">
        <x:v>lexical_density_types</x:v>
      </x:c>
      <x:c r="E240" s="6" t="n">
        <x:v>0.6792452830188679</x:v>
      </x:c>
      <x:c r="F240" s="6" t="n">
        <x:v>0.6782334384858044</x:v>
      </x:c>
      <x:c r="G240" s="7" t="n">
        <x:f>IF(OR(E240="",F240="",F240=0),"",ABS(E240-F240)/ABS(F240))</x:f>
        <x:v>0.0014918824045633433</x:v>
      </x:c>
      <x:c r="H240" s="5" t="str">
        <x:v>TAALED</x:v>
      </x:c>
    </x:row>
    <x:row r="241">
      <x:c r="A241" s="5" t="str">
        <x:v>P3</x:v>
      </x:c>
      <x:c r="B241" s="5" t="str">
        <x:v>PXL_20230420_215412046_transcription.xlsx</x:v>
      </x:c>
      <x:c r="C241" s="5" t="str">
        <x:v>P3_T2_corrected.txt</x:v>
      </x:c>
      <x:c r="D241" s="5" t="str">
        <x:v>simple_ttr_aw</x:v>
      </x:c>
      <x:c r="E241" s="6" t="n">
        <x:v>0.265</x:v>
      </x:c>
      <x:c r="F241" s="6" t="n">
        <x:v>0.2773403324584427</x:v>
      </x:c>
      <x:c r="G241" s="7" t="n">
        <x:f>IF(OR(E241="",F241="",F241=0),"",ABS(E241-F241)/ABS(F241))</x:f>
        <x:v>0.04449526813880122</x:v>
      </x:c>
      <x:c r="H241" s="5" t="str">
        <x:v>TAALED</x:v>
      </x:c>
    </x:row>
    <x:row r="242">
      <x:c r="A242" s="5" t="str">
        <x:v>P3</x:v>
      </x:c>
      <x:c r="B242" s="5" t="str">
        <x:v>PXL_20230420_215412046_transcription.xlsx</x:v>
      </x:c>
      <x:c r="C242" s="5" t="str">
        <x:v>P3_T2_corrected.txt</x:v>
      </x:c>
      <x:c r="D242" s="5" t="str">
        <x:v>root_ttr_aw</x:v>
      </x:c>
      <x:c r="E242" s="6" t="n">
        <x:v>9.17986928011505</x:v>
      </x:c>
      <x:c r="F242" s="6" t="n">
        <x:v>9.376400449496936</x:v>
      </x:c>
      <x:c r="G242" s="7" t="n">
        <x:f>IF(OR(E242="",F242="",F242=0),"",ABS(E242-F242)/ABS(F242))</x:f>
        <x:v>0.02096019367351475</x:v>
      </x:c>
      <x:c r="H242" s="5" t="str">
        <x:v>TAALED</x:v>
      </x:c>
    </x:row>
    <x:row r="243">
      <x:c r="A243" s="5" t="str">
        <x:v>P3</x:v>
      </x:c>
      <x:c r="B243" s="5" t="str">
        <x:v>PXL_20230420_215412046_transcription.xlsx</x:v>
      </x:c>
      <x:c r="C243" s="5" t="str">
        <x:v>P3_T2_corrected.txt</x:v>
      </x:c>
      <x:c r="D243" s="5" t="str">
        <x:v>log_ttr_aw</x:v>
      </x:c>
      <x:c r="E243" s="6" t="n">
        <x:v>0.8126923750255033</x:v>
      </x:c>
      <x:c r="F243" s="6" t="n">
        <x:v>0.8178618221525271</x:v>
      </x:c>
      <x:c r="G243" s="7" t="n">
        <x:f>IF(OR(E243="",F243="",F243=0),"",ABS(E243-F243)/ABS(F243))</x:f>
        <x:v>0.006320685214793843</x:v>
      </x:c>
      <x:c r="H243" s="5" t="str">
        <x:v>TAALED</x:v>
      </x:c>
    </x:row>
    <x:row r="244">
      <x:c r="A244" s="5" t="str">
        <x:v>P3</x:v>
      </x:c>
      <x:c r="B244" s="5" t="str">
        <x:v>PXL_20230420_215412046_transcription.xlsx</x:v>
      </x:c>
      <x:c r="C244" s="5" t="str">
        <x:v>P3_T2_corrected.txt</x:v>
      </x:c>
      <x:c r="D244" s="5" t="str">
        <x:v>maas_ttr_aw</x:v>
      </x:c>
      <x:c r="E244" s="6" t="n">
        <x:v>0.06083033443221995</x:v>
      </x:c>
      <x:c r="F244" s="6" t="n">
        <x:v>0.0595603088132287</x:v>
      </x:c>
      <x:c r="G244" s="7" t="n">
        <x:f>IF(OR(E244="",F244="",F244=0),"",ABS(E244-F244)/ABS(F244))</x:f>
        <x:v>0.02132335517221442</x:v>
      </x:c>
      <x:c r="H244" s="5" t="str">
        <x:v>TAALED</x:v>
      </x:c>
    </x:row>
    <x:row r="245">
      <x:c r="A245" s="5" t="str">
        <x:v>P3</x:v>
      </x:c>
      <x:c r="B245" s="5" t="str">
        <x:v>PXL_20230420_215412046_transcription.xlsx</x:v>
      </x:c>
      <x:c r="C245" s="5" t="str">
        <x:v>P3_T2_corrected.txt</x:v>
      </x:c>
      <x:c r="D245" s="5" t="str">
        <x:v>mattr50_aw</x:v>
      </x:c>
      <x:c r="E245" s="6" t="n">
        <x:v>0.6985403996524762</x:v>
      </x:c>
      <x:c r="F245" s="6" t="n">
        <x:v>0.6974405850091407</x:v>
      </x:c>
      <x:c r="G245" s="7" t="n">
        <x:f>IF(OR(E245="",F245="",F245=0),"",ABS(E245-F245)/ABS(F245))</x:f>
        <x:v>0.001576929514821686</x:v>
      </x:c>
      <x:c r="H245" s="5" t="str">
        <x:v>TAALED</x:v>
      </x:c>
    </x:row>
    <x:row r="246">
      <x:c r="A246" s="5" t="str">
        <x:v>P3</x:v>
      </x:c>
      <x:c r="B246" s="5" t="str">
        <x:v>PXL_20230420_215412046_transcription.xlsx</x:v>
      </x:c>
      <x:c r="C246" s="5" t="str">
        <x:v>P3_T2_corrected.txt</x:v>
      </x:c>
      <x:c r="D246" s="5" t="str">
        <x:v>msttr50_aw</x:v>
      </x:c>
      <x:c r="E246" s="6" t="n">
        <x:v>0.7058333333333333</x:v>
      </x:c>
      <x:c r="F246" s="6" t="n">
        <x:v>0.689090909090909</x:v>
      </x:c>
      <x:c r="G246" s="7" t="n">
        <x:f>IF(OR(E246="",F246="",F246=0),"",ABS(E246-F246)/ABS(F246))</x:f>
        <x:v>0.024296394019349306</x:v>
      </x:c>
      <x:c r="H246" s="5" t="str">
        <x:v>TAALED</x:v>
      </x:c>
    </x:row>
    <x:row r="247">
      <x:c r="A247" s="5" t="str">
        <x:v>P3</x:v>
      </x:c>
      <x:c r="B247" s="5" t="str">
        <x:v>PXL_20230420_215412046_transcription.xlsx</x:v>
      </x:c>
      <x:c r="C247" s="5" t="str">
        <x:v>P3_T2_corrected.txt</x:v>
      </x:c>
      <x:c r="D247" s="5" t="str">
        <x:v>hdd42_aw</x:v>
      </x:c>
      <x:c r="E247" s="6" t="n">
        <x:v>0.7879479124228256</x:v>
      </x:c>
      <x:c r="F247" s="6" t="n">
        <x:v>0.7931741847441257</x:v>
      </x:c>
      <x:c r="G247" s="7" t="n">
        <x:f>IF(OR(E247="",F247="",F247=0),"",ABS(E247-F247)/ABS(F247))</x:f>
        <x:v>0.006589060034759074</x:v>
      </x:c>
      <x:c r="H247" s="5" t="str">
        <x:v>TAALED</x:v>
      </x:c>
    </x:row>
    <x:row r="248">
      <x:c r="A248" s="5" t="str">
        <x:v>P3</x:v>
      </x:c>
      <x:c r="B248" s="5" t="str">
        <x:v>PXL_20230420_215412046_transcription.xlsx</x:v>
      </x:c>
      <x:c r="C248" s="5" t="str">
        <x:v>P3_T2_corrected.txt</x:v>
      </x:c>
      <x:c r="D248" s="5" t="str">
        <x:v>mtld_original_aw</x:v>
      </x:c>
      <x:c r="E248" s="6" t="n">
        <x:v>40.38929114654901</x:v>
      </x:c>
      <x:c r="F248" s="6" t="n">
        <x:v>42.7757256792098</x:v>
      </x:c>
      <x:c r="G248" s="7" t="n">
        <x:f>IF(OR(E248="",F248="",F248=0),"",ABS(E248-F248)/ABS(F248))</x:f>
        <x:v>0.05578945756659975</x:v>
      </x:c>
      <x:c r="H248" s="5" t="str">
        <x:v>TAALED</x:v>
      </x:c>
    </x:row>
    <x:row r="249">
      <x:c r="A249" s="5" t="str">
        <x:v>P3</x:v>
      </x:c>
      <x:c r="B249" s="5" t="str">
        <x:v>PXL_20230420_215412046_transcription.xlsx</x:v>
      </x:c>
      <x:c r="C249" s="5" t="str">
        <x:v>P3_T2_corrected.txt</x:v>
      </x:c>
      <x:c r="D249" s="5" t="str">
        <x:v>mtld_mean_factor_length_aw</x:v>
      </x:c>
      <x:c r="E249" s="6" t="n">
        <x:v>40.60680769230769</x:v>
      </x:c>
      <x:c r="F249" s="6" t="n">
        <x:v>42.95674074074074</x:v>
      </x:c>
      <x:c r="G249" s="7" t="n">
        <x:f>IF(OR(E249="",F249="",F249=0),"",ABS(E249-F249)/ABS(F249))</x:f>
        <x:v>0.054704640247632746</x:v>
      </x:c>
      <x:c r="H249" s="5" t="str">
        <x:v>TAALED</x:v>
      </x:c>
    </x:row>
    <x:row r="250">
      <x:c r="A250" s="5" t="str">
        <x:v>P3</x:v>
      </x:c>
      <x:c r="B250" s="5" t="str">
        <x:v>PXL_20230420_215412046_transcription.xlsx</x:v>
      </x:c>
      <x:c r="C250" s="5" t="str">
        <x:v>P3_T2_corrected.txt</x:v>
      </x:c>
      <x:c r="D250" s="5" t="str">
        <x:v>total_utterances</x:v>
      </x:c>
      <x:c r="E250" s="6" t="n">
        <x:v>86</x:v>
      </x:c>
      <x:c r="F250" s="6" t="n">
        <x:v>81</x:v>
      </x:c>
      <x:c r="G250" s="7" t="n">
        <x:f>IF(OR(E250="",F250="",F250=0),"",ABS(E250-F250)/ABS(F250))</x:f>
        <x:v>0.06172839506172839</x:v>
      </x:c>
      <x:c r="H250" s="5" t="str">
        <x:v>CLAN</x:v>
      </x:c>
    </x:row>
    <x:row r="251">
      <x:c r="A251" s="5" t="str">
        <x:v>P3</x:v>
      </x:c>
      <x:c r="B251" s="5" t="str">
        <x:v>PXL_20230420_215412046_transcription.xlsx</x:v>
      </x:c>
      <x:c r="C251" s="5" t="str">
        <x:v>P3_T2_corrected.txt</x:v>
      </x:c>
      <x:c r="D251" s="5" t="str">
        <x:v>total_words</x:v>
      </x:c>
      <x:c r="E251" s="6" t="n">
        <x:v>1146</x:v>
      </x:c>
      <x:c r="F251" s="6" t="n">
        <x:v>1087</x:v>
      </x:c>
      <x:c r="G251" s="7" t="n">
        <x:f>IF(OR(E251="",F251="",F251=0),"",ABS(E251-F251)/ABS(F251))</x:f>
        <x:v>0.05427782888684453</x:v>
      </x:c>
      <x:c r="H251" s="5" t="str">
        <x:v>CLAN</x:v>
      </x:c>
    </x:row>
    <x:row r="252">
      <x:c r="A252" s="5" t="str">
        <x:v>P3</x:v>
      </x:c>
      <x:c r="B252" s="5" t="str">
        <x:v>PXL_20230420_215412046_transcription.xlsx</x:v>
      </x:c>
      <x:c r="C252" s="5" t="str">
        <x:v>P3_T2_corrected.txt</x:v>
      </x:c>
      <x:c r="D252" s="5" t="str">
        <x:v>mlu_words</x:v>
      </x:c>
      <x:c r="E252" s="6" t="n">
        <x:v>13.325581395348838</x:v>
      </x:c>
      <x:c r="F252" s="6" t="n">
        <x:v>13.42</x:v>
      </x:c>
      <x:c r="G252" s="7" t="n">
        <x:f>IF(OR(E252="",F252="",F252=0),"",ABS(E252-F252)/ABS(F252))</x:f>
        <x:v>0.007035663535854109</x:v>
      </x:c>
      <x:c r="H252" s="5" t="str">
        <x:v>CLAN</x:v>
      </x:c>
    </x:row>
    <x:row r="253">
      <x:c r="A253" s="5" t="str">
        <x:v>P3</x:v>
      </x:c>
      <x:c r="B253" s="5" t="str">
        <x:v>PXL_20230420_215412046_transcription.xlsx</x:v>
      </x:c>
      <x:c r="C253" s="5" t="str">
        <x:v>P3_T2_corrected.txt</x:v>
      </x:c>
      <x:c r="D253" s="5" t="str">
        <x:v>mlu_words_sd</x:v>
      </x:c>
      <x:c r="E253" s="6" t="n">
        <x:v>11.364409826669007</x:v>
      </x:c>
      <x:c r="F253" s="6" t="n">
        <x:v>10.542</x:v>
      </x:c>
      <x:c r="G253" s="7" t="n">
        <x:f>IF(OR(E253="",F253="",F253=0),"",ABS(E253-F253)/ABS(F253))</x:f>
        <x:v>0.07801269461857403</x:v>
      </x:c>
      <x:c r="H253" s="5" t="str">
        <x:v>CLAN</x:v>
      </x:c>
    </x:row>
    <x:row r="254">
      <x:c r="A254" s="5" t="str">
        <x:v>P3</x:v>
      </x:c>
      <x:c r="B254" s="5" t="str">
        <x:v>PXL_20230420_220301572_transcription.xlsx</x:v>
      </x:c>
      <x:c r="C254" s="5" t="str">
        <x:v>P3_T3_corrected.txt</x:v>
      </x:c>
      <x:c r="D254" s="5" t="str">
        <x:v>basic_ntokens</x:v>
      </x:c>
      <x:c r="E254" s="6" t="n">
        <x:v>661</x:v>
      </x:c>
      <x:c r="F254" s="6" t="n">
        <x:v>650</x:v>
      </x:c>
      <x:c r="G254" s="7" t="n">
        <x:f>IF(OR(E254="",F254="",F254=0),"",ABS(E254-F254)/ABS(F254))</x:f>
        <x:v>0.016923076923076923</x:v>
      </x:c>
      <x:c r="H254" s="5" t="str">
        <x:v>TAALED</x:v>
      </x:c>
    </x:row>
    <x:row r="255">
      <x:c r="A255" s="5" t="str">
        <x:v>P3</x:v>
      </x:c>
      <x:c r="B255" s="5" t="str">
        <x:v>PXL_20230420_220301572_transcription.xlsx</x:v>
      </x:c>
      <x:c r="C255" s="5" t="str">
        <x:v>P3_T3_corrected.txt</x:v>
      </x:c>
      <x:c r="D255" s="5" t="str">
        <x:v>basic_ntypes</x:v>
      </x:c>
      <x:c r="E255" s="6" t="n">
        <x:v>232</x:v>
      </x:c>
      <x:c r="F255" s="6" t="n">
        <x:v>239</x:v>
      </x:c>
      <x:c r="G255" s="7" t="n">
        <x:f>IF(OR(E255="",F255="",F255=0),"",ABS(E255-F255)/ABS(F255))</x:f>
        <x:v>0.029288702928870293</x:v>
      </x:c>
      <x:c r="H255" s="5" t="str">
        <x:v>TAALED</x:v>
      </x:c>
    </x:row>
    <x:row r="256">
      <x:c r="A256" s="5" t="str">
        <x:v>P3</x:v>
      </x:c>
      <x:c r="B256" s="5" t="str">
        <x:v>PXL_20230420_220301572_transcription.xlsx</x:v>
      </x:c>
      <x:c r="C256" s="5" t="str">
        <x:v>P3_T3_corrected.txt</x:v>
      </x:c>
      <x:c r="D256" s="5" t="str">
        <x:v>basic_ncontent_tokens</x:v>
      </x:c>
      <x:c r="E256" s="6" t="n">
        <x:v>228</x:v>
      </x:c>
      <x:c r="F256" s="6" t="n">
        <x:v>230</x:v>
      </x:c>
      <x:c r="G256" s="7" t="n">
        <x:f>IF(OR(E256="",F256="",F256=0),"",ABS(E256-F256)/ABS(F256))</x:f>
        <x:v>0.008695652173913044</x:v>
      </x:c>
      <x:c r="H256" s="5" t="str">
        <x:v>TAALED</x:v>
      </x:c>
    </x:row>
    <x:row r="257">
      <x:c r="A257" s="5" t="str">
        <x:v>P3</x:v>
      </x:c>
      <x:c r="B257" s="5" t="str">
        <x:v>PXL_20230420_220301572_transcription.xlsx</x:v>
      </x:c>
      <x:c r="C257" s="5" t="str">
        <x:v>P3_T3_corrected.txt</x:v>
      </x:c>
      <x:c r="D257" s="5" t="str">
        <x:v>basic_ncontent_types</x:v>
      </x:c>
      <x:c r="E257" s="6" t="n">
        <x:v>141</x:v>
      </x:c>
      <x:c r="F257" s="6" t="n">
        <x:v>148</x:v>
      </x:c>
      <x:c r="G257" s="7" t="n">
        <x:f>IF(OR(E257="",F257="",F257=0),"",ABS(E257-F257)/ABS(F257))</x:f>
        <x:v>0.0472972972972973</x:v>
      </x:c>
      <x:c r="H257" s="5" t="str">
        <x:v>TAALED</x:v>
      </x:c>
    </x:row>
    <x:row r="258">
      <x:c r="A258" s="5" t="str">
        <x:v>P3</x:v>
      </x:c>
      <x:c r="B258" s="5" t="str">
        <x:v>PXL_20230420_220301572_transcription.xlsx</x:v>
      </x:c>
      <x:c r="C258" s="5" t="str">
        <x:v>P3_T3_corrected.txt</x:v>
      </x:c>
      <x:c r="D258" s="5" t="str">
        <x:v>basic_nfunction_tokens</x:v>
      </x:c>
      <x:c r="E258" s="6" t="n">
        <x:v>433</x:v>
      </x:c>
      <x:c r="F258" s="6" t="n">
        <x:v>420</x:v>
      </x:c>
      <x:c r="G258" s="7" t="n">
        <x:f>IF(OR(E258="",F258="",F258=0),"",ABS(E258-F258)/ABS(F258))</x:f>
        <x:v>0.030952380952380953</x:v>
      </x:c>
      <x:c r="H258" s="5" t="str">
        <x:v>TAALED</x:v>
      </x:c>
    </x:row>
    <x:row r="259">
      <x:c r="A259" s="5" t="str">
        <x:v>P3</x:v>
      </x:c>
      <x:c r="B259" s="5" t="str">
        <x:v>PXL_20230420_220301572_transcription.xlsx</x:v>
      </x:c>
      <x:c r="C259" s="5" t="str">
        <x:v>P3_T3_corrected.txt</x:v>
      </x:c>
      <x:c r="D259" s="5" t="str">
        <x:v>basic_nfunction_types</x:v>
      </x:c>
      <x:c r="E259" s="6" t="n">
        <x:v>91</x:v>
      </x:c>
      <x:c r="F259" s="6" t="n">
        <x:v>91</x:v>
      </x:c>
      <x:c r="G259" s="7" t="n">
        <x:f>IF(OR(E259="",F259="",F259=0),"",ABS(E259-F259)/ABS(F259))</x:f>
        <x:v>0</x:v>
      </x:c>
      <x:c r="H259" s="5" t="str">
        <x:v>TAALED</x:v>
      </x:c>
    </x:row>
    <x:row r="260">
      <x:c r="A260" s="5" t="str">
        <x:v>P3</x:v>
      </x:c>
      <x:c r="B260" s="5" t="str">
        <x:v>PXL_20230420_220301572_transcription.xlsx</x:v>
      </x:c>
      <x:c r="C260" s="5" t="str">
        <x:v>P3_T3_corrected.txt</x:v>
      </x:c>
      <x:c r="D260" s="5" t="str">
        <x:v>lexical_density_tokens</x:v>
      </x:c>
      <x:c r="E260" s="6" t="n">
        <x:v>0.34493192133131617</x:v>
      </x:c>
      <x:c r="F260" s="6" t="n">
        <x:v>0.35384615384615387</x:v>
      </x:c>
      <x:c r="G260" s="7" t="n">
        <x:f>IF(OR(E260="",F260="",F260=0),"",ABS(E260-F260)/ABS(F260))</x:f>
        <x:v>0.025192396237584787</x:v>
      </x:c>
      <x:c r="H260" s="5" t="str">
        <x:v>TAALED</x:v>
      </x:c>
    </x:row>
    <x:row r="261">
      <x:c r="A261" s="5" t="str">
        <x:v>P3</x:v>
      </x:c>
      <x:c r="B261" s="5" t="str">
        <x:v>PXL_20230420_220301572_transcription.xlsx</x:v>
      </x:c>
      <x:c r="C261" s="5" t="str">
        <x:v>P3_T3_corrected.txt</x:v>
      </x:c>
      <x:c r="D261" s="5" t="str">
        <x:v>lexical_density_types</x:v>
      </x:c>
      <x:c r="E261" s="6" t="n">
        <x:v>0.6077586206896551</x:v>
      </x:c>
      <x:c r="F261" s="6" t="n">
        <x:v>0.6192468619246861</x:v>
      </x:c>
      <x:c r="G261" s="7" t="n">
        <x:f>IF(OR(E261="",F261="",F261=0),"",ABS(E261-F261)/ABS(F261))</x:f>
        <x:v>0.018551957129543314</x:v>
      </x:c>
      <x:c r="H261" s="5" t="str">
        <x:v>TAALED</x:v>
      </x:c>
    </x:row>
    <x:row r="262">
      <x:c r="A262" s="5" t="str">
        <x:v>P3</x:v>
      </x:c>
      <x:c r="B262" s="5" t="str">
        <x:v>PXL_20230420_220301572_transcription.xlsx</x:v>
      </x:c>
      <x:c r="C262" s="5" t="str">
        <x:v>P3_T3_corrected.txt</x:v>
      </x:c>
      <x:c r="D262" s="5" t="str">
        <x:v>simple_ttr_aw</x:v>
      </x:c>
      <x:c r="E262" s="6" t="n">
        <x:v>0.35098335854765506</x:v>
      </x:c>
      <x:c r="F262" s="6" t="n">
        <x:v>0.3676923076923077</x:v>
      </x:c>
      <x:c r="G262" s="7" t="n">
        <x:f>IF(OR(E262="",F262="",F262=0),"",ABS(E262-F262)/ABS(F262))</x:f>
        <x:v>0.045442748719766626</x:v>
      </x:c>
      <x:c r="H262" s="5" t="str">
        <x:v>TAALED</x:v>
      </x:c>
    </x:row>
    <x:row r="263">
      <x:c r="A263" s="5" t="str">
        <x:v>P3</x:v>
      </x:c>
      <x:c r="B263" s="5" t="str">
        <x:v>PXL_20230420_220301572_transcription.xlsx</x:v>
      </x:c>
      <x:c r="C263" s="5" t="str">
        <x:v>P3_T3_corrected.txt</x:v>
      </x:c>
      <x:c r="D263" s="5" t="str">
        <x:v>root_ttr_aw</x:v>
      </x:c>
      <x:c r="E263" s="6" t="n">
        <x:v>9.023754162379202</x:v>
      </x:c>
      <x:c r="F263" s="6" t="n">
        <x:v>9.374351259605197</x:v>
      </x:c>
      <x:c r="G263" s="7" t="n">
        <x:f>IF(OR(E263="",F263="",F263=0),"",ABS(E263-F263)/ABS(F263))</x:f>
        <x:v>0.03739961171891913</x:v>
      </x:c>
      <x:c r="H263" s="5" t="str">
        <x:v>TAALED</x:v>
      </x:c>
    </x:row>
    <x:row r="264">
      <x:c r="A264" s="5" t="str">
        <x:v>P3</x:v>
      </x:c>
      <x:c r="B264" s="5" t="str">
        <x:v>PXL_20230420_220301572_transcription.xlsx</x:v>
      </x:c>
      <x:c r="C264" s="5" t="str">
        <x:v>P3_T3_corrected.txt</x:v>
      </x:c>
      <x:c r="D264" s="5" t="str">
        <x:v>log_ttr_aw</x:v>
      </x:c>
      <x:c r="E264" s="6" t="n">
        <x:v>0.8387656055331335</x:v>
      </x:c>
      <x:c r="F264" s="6" t="n">
        <x:v>0.8455283186492093</x:v>
      </x:c>
      <x:c r="G264" s="7" t="n">
        <x:f>IF(OR(E264="",F264="",F264=0),"",ABS(E264-F264)/ABS(F264))</x:f>
        <x:v>0.007998210074004026</x:v>
      </x:c>
      <x:c r="H264" s="5" t="str">
        <x:v>TAALED</x:v>
      </x:c>
    </x:row>
    <x:row r="265">
      <x:c r="A265" s="5" t="str">
        <x:v>P3</x:v>
      </x:c>
      <x:c r="B265" s="5" t="str">
        <x:v>PXL_20230420_220301572_transcription.xlsx</x:v>
      </x:c>
      <x:c r="C265" s="5" t="str">
        <x:v>P3_T3_corrected.txt</x:v>
      </x:c>
      <x:c r="D265" s="5" t="str">
        <x:v>maas_ttr_aw</x:v>
      </x:c>
      <x:c r="E265" s="6" t="n">
        <x:v>0.05717123290060033</x:v>
      </x:c>
      <x:c r="F265" s="6" t="n">
        <x:v>0.05491519352560112</x:v>
      </x:c>
      <x:c r="G265" s="7" t="n">
        <x:f>IF(OR(E265="",F265="",F265=0),"",ABS(E265-F265)/ABS(F265))</x:f>
        <x:v>0.041082243913926335</x:v>
      </x:c>
      <x:c r="H265" s="5" t="str">
        <x:v>TAALED</x:v>
      </x:c>
    </x:row>
    <x:row r="266">
      <x:c r="A266" s="5" t="str">
        <x:v>P3</x:v>
      </x:c>
      <x:c r="B266" s="5" t="str">
        <x:v>PXL_20230420_220301572_transcription.xlsx</x:v>
      </x:c>
      <x:c r="C266" s="5" t="str">
        <x:v>P3_T3_corrected.txt</x:v>
      </x:c>
      <x:c r="D266" s="5" t="str">
        <x:v>mattr50_aw</x:v>
      </x:c>
      <x:c r="E266" s="6" t="n">
        <x:v>0.7184640522875817</x:v>
      </x:c>
      <x:c r="F266" s="6" t="n">
        <x:v>0.7154076539101497</x:v>
      </x:c>
      <x:c r="G266" s="7" t="n">
        <x:f>IF(OR(E266="",F266="",F266=0),"",ABS(E266-F266)/ABS(F266))</x:f>
        <x:v>0.004272247243549693</x:v>
      </x:c>
      <x:c r="H266" s="5" t="str">
        <x:v>TAALED</x:v>
      </x:c>
    </x:row>
    <x:row r="267">
      <x:c r="A267" s="5" t="str">
        <x:v>P3</x:v>
      </x:c>
      <x:c r="B267" s="5" t="str">
        <x:v>PXL_20230420_220301572_transcription.xlsx</x:v>
      </x:c>
      <x:c r="C267" s="5" t="str">
        <x:v>P3_T3_corrected.txt</x:v>
      </x:c>
      <x:c r="D267" s="5" t="str">
        <x:v>msttr50_aw</x:v>
      </x:c>
      <x:c r="E267" s="6" t="n">
        <x:v>0.7092307692307692</x:v>
      </x:c>
      <x:c r="F267" s="6" t="n">
        <x:v>0.7138461538461538</x:v>
      </x:c>
      <x:c r="G267" s="7" t="n">
        <x:f>IF(OR(E267="",F267="",F267=0),"",ABS(E267-F267)/ABS(F267))</x:f>
        <x:v>0.0064655172413792565</x:v>
      </x:c>
      <x:c r="H267" s="5" t="str">
        <x:v>TAALED</x:v>
      </x:c>
    </x:row>
    <x:row r="268">
      <x:c r="A268" s="5" t="str">
        <x:v>P3</x:v>
      </x:c>
      <x:c r="B268" s="5" t="str">
        <x:v>PXL_20230420_220301572_transcription.xlsx</x:v>
      </x:c>
      <x:c r="C268" s="5" t="str">
        <x:v>P3_T3_corrected.txt</x:v>
      </x:c>
      <x:c r="D268" s="5" t="str">
        <x:v>hdd42_aw</x:v>
      </x:c>
      <x:c r="E268" s="6" t="n">
        <x:v>0.8110934968397278</x:v>
      </x:c>
      <x:c r="F268" s="6" t="n">
        <x:v>0.8108710695288404</x:v>
      </x:c>
      <x:c r="G268" s="7" t="n">
        <x:f>IF(OR(E268="",F268="",F268=0),"",ABS(E268-F268)/ABS(F268))</x:f>
        <x:v>0.00027430663054317457</x:v>
      </x:c>
      <x:c r="H268" s="5" t="str">
        <x:v>TAALED</x:v>
      </x:c>
    </x:row>
    <x:row r="269">
      <x:c r="A269" s="5" t="str">
        <x:v>P3</x:v>
      </x:c>
      <x:c r="B269" s="5" t="str">
        <x:v>PXL_20230420_220301572_transcription.xlsx</x:v>
      </x:c>
      <x:c r="C269" s="5" t="str">
        <x:v>P3_T3_corrected.txt</x:v>
      </x:c>
      <x:c r="D269" s="5" t="str">
        <x:v>mtld_original_aw</x:v>
      </x:c>
      <x:c r="E269" s="6" t="n">
        <x:v>46.06230815990118</x:v>
      </x:c>
      <x:c r="F269" s="6" t="n">
        <x:v>42.31893842678975</x:v>
      </x:c>
      <x:c r="G269" s="7" t="n">
        <x:f>IF(OR(E269="",F269="",F269=0),"",ABS(E269-F269)/ABS(F269))</x:f>
        <x:v>0.08845613506083864</x:v>
      </x:c>
      <x:c r="H269" s="5" t="str">
        <x:v>TAALED</x:v>
      </x:c>
    </x:row>
    <x:row r="270">
      <x:c r="A270" s="5" t="str">
        <x:v>P3</x:v>
      </x:c>
      <x:c r="B270" s="5" t="str">
        <x:v>PXL_20230420_220301572_transcription.xlsx</x:v>
      </x:c>
      <x:c r="C270" s="5" t="str">
        <x:v>P3_T3_corrected.txt</x:v>
      </x:c>
      <x:c r="D270" s="5" t="str">
        <x:v>mtld_mean_factor_length_aw</x:v>
      </x:c>
      <x:c r="E270" s="6" t="n">
        <x:v>47.12266666666667</x:v>
      </x:c>
      <x:c r="F270" s="6" t="n">
        <x:v>42.766451612903225</x:v>
      </x:c>
      <x:c r="G270" s="7" t="n">
        <x:f>IF(OR(E270="",F270="",F270=0),"",ABS(E270-F270)/ABS(F270))</x:f>
        <x:v>0.10186056802638993</x:v>
      </x:c>
      <x:c r="H270" s="5" t="str">
        <x:v>TAALED</x:v>
      </x:c>
    </x:row>
    <x:row r="271">
      <x:c r="A271" s="5" t="str">
        <x:v>P3</x:v>
      </x:c>
      <x:c r="B271" s="5" t="str">
        <x:v>PXL_20230420_220301572_transcription.xlsx</x:v>
      </x:c>
      <x:c r="C271" s="5" t="str">
        <x:v>P3_T3_corrected.txt</x:v>
      </x:c>
      <x:c r="D271" s="5" t="str">
        <x:v>total_utterances</x:v>
      </x:c>
      <x:c r="E271" s="6" t="n">
        <x:v>64</x:v>
      </x:c>
      <x:c r="F271" s="6" t="n">
        <x:v>64</x:v>
      </x:c>
      <x:c r="G271" s="7" t="n">
        <x:f>IF(OR(E271="",F271="",F271=0),"",ABS(E271-F271)/ABS(F271))</x:f>
        <x:v>0</x:v>
      </x:c>
      <x:c r="H271" s="5" t="str">
        <x:v>CLAN</x:v>
      </x:c>
    </x:row>
    <x:row r="272">
      <x:c r="A272" s="5" t="str">
        <x:v>P3</x:v>
      </x:c>
      <x:c r="B272" s="5" t="str">
        <x:v>PXL_20230420_220301572_transcription.xlsx</x:v>
      </x:c>
      <x:c r="C272" s="5" t="str">
        <x:v>P3_T3_corrected.txt</x:v>
      </x:c>
      <x:c r="D272" s="5" t="str">
        <x:v>total_words</x:v>
      </x:c>
      <x:c r="E272" s="6" t="n">
        <x:v>637</x:v>
      </x:c>
      <x:c r="F272" s="6" t="n">
        <x:v>622</x:v>
      </x:c>
      <x:c r="G272" s="7" t="n">
        <x:f>IF(OR(E272="",F272="",F272=0),"",ABS(E272-F272)/ABS(F272))</x:f>
        <x:v>0.024115755627009645</x:v>
      </x:c>
      <x:c r="H272" s="5" t="str">
        <x:v>CLAN</x:v>
      </x:c>
    </x:row>
    <x:row r="273">
      <x:c r="A273" s="5" t="str">
        <x:v>P3</x:v>
      </x:c>
      <x:c r="B273" s="5" t="str">
        <x:v>PXL_20230420_220301572_transcription.xlsx</x:v>
      </x:c>
      <x:c r="C273" s="5" t="str">
        <x:v>P3_T3_corrected.txt</x:v>
      </x:c>
      <x:c r="D273" s="5" t="str">
        <x:v>mlu_words</x:v>
      </x:c>
      <x:c r="E273" s="6" t="n">
        <x:v>9.953125</x:v>
      </x:c>
      <x:c r="F273" s="6" t="n">
        <x:v>9.719</x:v>
      </x:c>
      <x:c r="G273" s="7" t="n">
        <x:f>IF(OR(E273="",F273="",F273=0),"",ABS(E273-F273)/ABS(F273))</x:f>
        <x:v>0.024089412490997077</x:v>
      </x:c>
      <x:c r="H273" s="5" t="str">
        <x:v>CLAN</x:v>
      </x:c>
    </x:row>
    <x:row r="274">
      <x:c r="A274" s="5" t="str">
        <x:v>P3</x:v>
      </x:c>
      <x:c r="B274" s="5" t="str">
        <x:v>PXL_20230420_220301572_transcription.xlsx</x:v>
      </x:c>
      <x:c r="C274" s="5" t="str">
        <x:v>P3_T3_corrected.txt</x:v>
      </x:c>
      <x:c r="D274" s="5" t="str">
        <x:v>mlu_words_sd</x:v>
      </x:c>
      <x:c r="E274" s="6" t="n">
        <x:v>9.500706696576577</x:v>
      </x:c>
      <x:c r="F274" s="6" t="n">
        <x:v>8.767</x:v>
      </x:c>
      <x:c r="G274" s="7" t="n">
        <x:f>IF(OR(E274="",F274="",F274=0),"",ABS(E274-F274)/ABS(F274))</x:f>
        <x:v>0.08368959696322317</x:v>
      </x:c>
      <x:c r="H274" s="5" t="str">
        <x:v>CLAN</x:v>
      </x:c>
    </x:row>
    <x:row r="275">
      <x:c r="A275" s="5" t="str">
        <x:v>P3</x:v>
      </x:c>
      <x:c r="B275" s="5" t="str">
        <x:v>PXL_20230420_221051779_2_transcription.xlsx</x:v>
      </x:c>
      <x:c r="C275" s="5" t="str">
        <x:v>P3_T4_corrected.txt</x:v>
      </x:c>
      <x:c r="D275" s="5" t="str">
        <x:v>basic_ntokens</x:v>
      </x:c>
      <x:c r="E275" s="6" t="n">
        <x:v>721</x:v>
      </x:c>
      <x:c r="F275" s="6" t="n">
        <x:v>674</x:v>
      </x:c>
      <x:c r="G275" s="7" t="n">
        <x:f>IF(OR(E275="",F275="",F275=0),"",ABS(E275-F275)/ABS(F275))</x:f>
        <x:v>0.06973293768545995</x:v>
      </x:c>
      <x:c r="H275" s="5" t="str">
        <x:v>TAALED</x:v>
      </x:c>
    </x:row>
    <x:row r="276">
      <x:c r="A276" s="5" t="str">
        <x:v>P3</x:v>
      </x:c>
      <x:c r="B276" s="5" t="str">
        <x:v>PXL_20230420_221051779_2_transcription.xlsx</x:v>
      </x:c>
      <x:c r="C276" s="5" t="str">
        <x:v>P3_T4_corrected.txt</x:v>
      </x:c>
      <x:c r="D276" s="5" t="str">
        <x:v>basic_ntypes</x:v>
      </x:c>
      <x:c r="E276" s="6" t="n">
        <x:v>216</x:v>
      </x:c>
      <x:c r="F276" s="6" t="n">
        <x:v>232</x:v>
      </x:c>
      <x:c r="G276" s="7" t="n">
        <x:f>IF(OR(E276="",F276="",F276=0),"",ABS(E276-F276)/ABS(F276))</x:f>
        <x:v>0.06896551724137931</x:v>
      </x:c>
      <x:c r="H276" s="5" t="str">
        <x:v>TAALED</x:v>
      </x:c>
    </x:row>
    <x:row r="277">
      <x:c r="A277" s="5" t="str">
        <x:v>P3</x:v>
      </x:c>
      <x:c r="B277" s="5" t="str">
        <x:v>PXL_20230420_221051779_2_transcription.xlsx</x:v>
      </x:c>
      <x:c r="C277" s="5" t="str">
        <x:v>P3_T4_corrected.txt</x:v>
      </x:c>
      <x:c r="D277" s="5" t="str">
        <x:v>basic_ncontent_tokens</x:v>
      </x:c>
      <x:c r="E277" s="6" t="n">
        <x:v>228</x:v>
      </x:c>
      <x:c r="F277" s="6" t="n">
        <x:v>246</x:v>
      </x:c>
      <x:c r="G277" s="7" t="n">
        <x:f>IF(OR(E277="",F277="",F277=0),"",ABS(E277-F277)/ABS(F277))</x:f>
        <x:v>0.07317073170731707</x:v>
      </x:c>
      <x:c r="H277" s="5" t="str">
        <x:v>TAALED</x:v>
      </x:c>
    </x:row>
    <x:row r="278">
      <x:c r="A278" s="5" t="str">
        <x:v>P3</x:v>
      </x:c>
      <x:c r="B278" s="5" t="str">
        <x:v>PXL_20230420_221051779_2_transcription.xlsx</x:v>
      </x:c>
      <x:c r="C278" s="5" t="str">
        <x:v>P3_T4_corrected.txt</x:v>
      </x:c>
      <x:c r="D278" s="5" t="str">
        <x:v>basic_ncontent_types</x:v>
      </x:c>
      <x:c r="E278" s="6" t="n">
        <x:v>124</x:v>
      </x:c>
      <x:c r="F278" s="6" t="n">
        <x:v>131</x:v>
      </x:c>
      <x:c r="G278" s="7" t="n">
        <x:f>IF(OR(E278="",F278="",F278=0),"",ABS(E278-F278)/ABS(F278))</x:f>
        <x:v>0.05343511450381679</x:v>
      </x:c>
      <x:c r="H278" s="5" t="str">
        <x:v>TAALED</x:v>
      </x:c>
    </x:row>
    <x:row r="279">
      <x:c r="A279" s="5" t="str">
        <x:v>P3</x:v>
      </x:c>
      <x:c r="B279" s="5" t="str">
        <x:v>PXL_20230420_221051779_2_transcription.xlsx</x:v>
      </x:c>
      <x:c r="C279" s="5" t="str">
        <x:v>P3_T4_corrected.txt</x:v>
      </x:c>
      <x:c r="D279" s="5" t="str">
        <x:v>basic_nfunction_tokens</x:v>
      </x:c>
      <x:c r="E279" s="6" t="n">
        <x:v>493</x:v>
      </x:c>
      <x:c r="F279" s="6" t="n">
        <x:v>428</x:v>
      </x:c>
      <x:c r="G279" s="7" t="n">
        <x:f>IF(OR(E279="",F279="",F279=0),"",ABS(E279-F279)/ABS(F279))</x:f>
        <x:v>0.15186915887850466</x:v>
      </x:c>
      <x:c r="H279" s="5" t="str">
        <x:v>TAALED</x:v>
      </x:c>
    </x:row>
    <x:row r="280">
      <x:c r="A280" s="5" t="str">
        <x:v>P3</x:v>
      </x:c>
      <x:c r="B280" s="5" t="str">
        <x:v>PXL_20230420_221051779_2_transcription.xlsx</x:v>
      </x:c>
      <x:c r="C280" s="5" t="str">
        <x:v>P3_T4_corrected.txt</x:v>
      </x:c>
      <x:c r="D280" s="5" t="str">
        <x:v>basic_nfunction_types</x:v>
      </x:c>
      <x:c r="E280" s="6" t="n">
        <x:v>92</x:v>
      </x:c>
      <x:c r="F280" s="6" t="n">
        <x:v>101</x:v>
      </x:c>
      <x:c r="G280" s="7" t="n">
        <x:f>IF(OR(E280="",F280="",F280=0),"",ABS(E280-F280)/ABS(F280))</x:f>
        <x:v>0.0891089108910891</x:v>
      </x:c>
      <x:c r="H280" s="5" t="str">
        <x:v>TAALED</x:v>
      </x:c>
    </x:row>
    <x:row r="281">
      <x:c r="A281" s="5" t="str">
        <x:v>P3</x:v>
      </x:c>
      <x:c r="B281" s="5" t="str">
        <x:v>PXL_20230420_221051779_2_transcription.xlsx</x:v>
      </x:c>
      <x:c r="C281" s="5" t="str">
        <x:v>P3_T4_corrected.txt</x:v>
      </x:c>
      <x:c r="D281" s="5" t="str">
        <x:v>lexical_density_tokens</x:v>
      </x:c>
      <x:c r="E281" s="6" t="n">
        <x:v>0.31622746185852985</x:v>
      </x:c>
      <x:c r="F281" s="6" t="n">
        <x:v>0.3649851632047478</x:v>
      </x:c>
      <x:c r="G281" s="7" t="n">
        <x:f>IF(OR(E281="",F281="",F281=0),"",ABS(E281-F281)/ABS(F281))</x:f>
        <x:v>0.13358817360711742</x:v>
      </x:c>
      <x:c r="H281" s="5" t="str">
        <x:v>TAALED</x:v>
      </x:c>
    </x:row>
    <x:row r="282">
      <x:c r="A282" s="5" t="str">
        <x:v>P3</x:v>
      </x:c>
      <x:c r="B282" s="5" t="str">
        <x:v>PXL_20230420_221051779_2_transcription.xlsx</x:v>
      </x:c>
      <x:c r="C282" s="5" t="str">
        <x:v>P3_T4_corrected.txt</x:v>
      </x:c>
      <x:c r="D282" s="5" t="str">
        <x:v>lexical_density_types</x:v>
      </x:c>
      <x:c r="E282" s="6" t="n">
        <x:v>0.5740740740740741</x:v>
      </x:c>
      <x:c r="F282" s="6" t="n">
        <x:v>0.5646551724137931</x:v>
      </x:c>
      <x:c r="G282" s="7" t="n">
        <x:f>IF(OR(E282="",F282="",F282=0),"",ABS(E282-F282)/ABS(F282))</x:f>
        <x:v>0.016680802940344835</x:v>
      </x:c>
      <x:c r="H282" s="5" t="str">
        <x:v>TAALED</x:v>
      </x:c>
    </x:row>
    <x:row r="283">
      <x:c r="A283" s="5" t="str">
        <x:v>P3</x:v>
      </x:c>
      <x:c r="B283" s="5" t="str">
        <x:v>PXL_20230420_221051779_2_transcription.xlsx</x:v>
      </x:c>
      <x:c r="C283" s="5" t="str">
        <x:v>P3_T4_corrected.txt</x:v>
      </x:c>
      <x:c r="D283" s="5" t="str">
        <x:v>simple_ttr_aw</x:v>
      </x:c>
      <x:c r="E283" s="6" t="n">
        <x:v>0.29958391123439665</x:v>
      </x:c>
      <x:c r="F283" s="6" t="n">
        <x:v>0.34421364985163205</x:v>
      </x:c>
      <x:c r="G283" s="7" t="n">
        <x:f>IF(OR(E283="",F283="",F283=0),"",ABS(E283-F283)/ABS(F283))</x:f>
        <x:v>0.12965708546558907</x:v>
      </x:c>
      <x:c r="H283" s="5" t="str">
        <x:v>TAALED</x:v>
      </x:c>
    </x:row>
    <x:row r="284">
      <x:c r="A284" s="5" t="str">
        <x:v>P3</x:v>
      </x:c>
      <x:c r="B284" s="5" t="str">
        <x:v>PXL_20230420_221051779_2_transcription.xlsx</x:v>
      </x:c>
      <x:c r="C284" s="5" t="str">
        <x:v>P3_T4_corrected.txt</x:v>
      </x:c>
      <x:c r="D284" s="5" t="str">
        <x:v>root_ttr_aw</x:v>
      </x:c>
      <x:c r="E284" s="6" t="n">
        <x:v>8.044260365417674</x:v>
      </x:c>
      <x:c r="F284" s="6" t="n">
        <x:v>8.936306102947606</x:v>
      </x:c>
      <x:c r="G284" s="7" t="n">
        <x:f>IF(OR(E284="",F284="",F284=0),"",ABS(E284-F284)/ABS(F284))</x:f>
        <x:v>0.09982264788755321</x:v>
      </x:c>
      <x:c r="H284" s="5" t="str">
        <x:v>TAALED</x:v>
      </x:c>
    </x:row>
    <x:row r="285">
      <x:c r="A285" s="5" t="str">
        <x:v>P3</x:v>
      </x:c>
      <x:c r="B285" s="5" t="str">
        <x:v>PXL_20230420_221051779_2_transcription.xlsx</x:v>
      </x:c>
      <x:c r="C285" s="5" t="str">
        <x:v>P3_T4_corrected.txt</x:v>
      </x:c>
      <x:c r="D285" s="5" t="str">
        <x:v>log_ttr_aw</x:v>
      </x:c>
      <x:c r="E285" s="6" t="n">
        <x:v>0.8168322704748563</x:v>
      </x:c>
      <x:c r="F285" s="6" t="n">
        <x:v>0.836257475770864</x:v>
      </x:c>
      <x:c r="G285" s="7" t="n">
        <x:f>IF(OR(E285="",F285="",F285=0),"",ABS(E285-F285)/ABS(F285))</x:f>
        <x:v>0.02322873739107859</x:v>
      </x:c>
      <x:c r="H285" s="5" t="str">
        <x:v>TAALED</x:v>
      </x:c>
    </x:row>
    <x:row r="286">
      <x:c r="A286" s="5" t="str">
        <x:v>P3</x:v>
      </x:c>
      <x:c r="B286" s="5" t="str">
        <x:v>PXL_20230420_221051779_2_transcription.xlsx</x:v>
      </x:c>
      <x:c r="C286" s="5" t="str">
        <x:v>P3_T4_corrected.txt</x:v>
      </x:c>
      <x:c r="D286" s="5" t="str">
        <x:v>maas_ttr_aw</x:v>
      </x:c>
      <x:c r="E286" s="6" t="n">
        <x:v>0.06409093018526636</x:v>
      </x:c>
      <x:c r="F286" s="6" t="n">
        <x:v>0.057886960687531165</x:v>
      </x:c>
      <x:c r="G286" s="7" t="n">
        <x:f>IF(OR(E286="",F286="",F286=0),"",ABS(E286-F286)/ABS(F286))</x:f>
        <x:v>0.10717386824338024</x:v>
      </x:c>
      <x:c r="H286" s="5" t="str">
        <x:v>TAALED</x:v>
      </x:c>
    </x:row>
    <x:row r="287">
      <x:c r="A287" s="5" t="str">
        <x:v>P3</x:v>
      </x:c>
      <x:c r="B287" s="5" t="str">
        <x:v>PXL_20230420_221051779_2_transcription.xlsx</x:v>
      </x:c>
      <x:c r="C287" s="5" t="str">
        <x:v>P3_T4_corrected.txt</x:v>
      </x:c>
      <x:c r="D287" s="5" t="str">
        <x:v>mattr50_aw</x:v>
      </x:c>
      <x:c r="E287" s="6" t="n">
        <x:v>0.6888690476190477</x:v>
      </x:c>
      <x:c r="F287" s="6" t="n">
        <x:v>0.72816</x:v>
      </x:c>
      <x:c r="G287" s="7" t="n">
        <x:f>IF(OR(E287="",F287="",F287=0),"",ABS(E287-F287)/ABS(F287))</x:f>
        <x:v>0.053959229264107296</x:v>
      </x:c>
      <x:c r="H287" s="5" t="str">
        <x:v>TAALED</x:v>
      </x:c>
    </x:row>
    <x:row r="288">
      <x:c r="A288" s="5" t="str">
        <x:v>P3</x:v>
      </x:c>
      <x:c r="B288" s="5" t="str">
        <x:v>PXL_20230420_221051779_2_transcription.xlsx</x:v>
      </x:c>
      <x:c r="C288" s="5" t="str">
        <x:v>P3_T4_corrected.txt</x:v>
      </x:c>
      <x:c r="D288" s="5" t="str">
        <x:v>msttr50_aw</x:v>
      </x:c>
      <x:c r="E288" s="6" t="n">
        <x:v>0.6900000000000001</x:v>
      </x:c>
      <x:c r="F288" s="6" t="n">
        <x:v>0.7323076923076923</x:v>
      </x:c>
      <x:c r="G288" s="7" t="n">
        <x:f>IF(OR(E288="",F288="",F288=0),"",ABS(E288-F288)/ABS(F288))</x:f>
        <x:v>0.057773109243697426</x:v>
      </x:c>
      <x:c r="H288" s="5" t="str">
        <x:v>TAALED</x:v>
      </x:c>
    </x:row>
    <x:row r="289">
      <x:c r="A289" s="5" t="str">
        <x:v>P3</x:v>
      </x:c>
      <x:c r="B289" s="5" t="str">
        <x:v>PXL_20230420_221051779_2_transcription.xlsx</x:v>
      </x:c>
      <x:c r="C289" s="5" t="str">
        <x:v>P3_T4_corrected.txt</x:v>
      </x:c>
      <x:c r="D289" s="5" t="str">
        <x:v>hdd42_aw</x:v>
      </x:c>
      <x:c r="E289" s="6" t="n">
        <x:v>0.7676251407171136</x:v>
      </x:c>
      <x:c r="F289" s="6" t="n">
        <x:v>0.7952371374098708</x:v>
      </x:c>
      <x:c r="G289" s="7" t="n">
        <x:f>IF(OR(E289="",F289="",F289=0),"",ABS(E289-F289)/ABS(F289))</x:f>
        <x:v>0.034721714308628596</x:v>
      </x:c>
      <x:c r="H289" s="5" t="str">
        <x:v>TAALED</x:v>
      </x:c>
    </x:row>
    <x:row r="290">
      <x:c r="A290" s="5" t="str">
        <x:v>P3</x:v>
      </x:c>
      <x:c r="B290" s="5" t="str">
        <x:v>PXL_20230420_221051779_2_transcription.xlsx</x:v>
      </x:c>
      <x:c r="C290" s="5" t="str">
        <x:v>P3_T4_corrected.txt</x:v>
      </x:c>
      <x:c r="D290" s="5" t="str">
        <x:v>mtld_original_aw</x:v>
      </x:c>
      <x:c r="E290" s="6" t="n">
        <x:v>36.76740502140052</x:v>
      </x:c>
      <x:c r="F290" s="6" t="n">
        <x:v>49.80551919163793</x:v>
      </x:c>
      <x:c r="G290" s="7" t="n">
        <x:f>IF(OR(E290="",F290="",F290=0),"",ABS(E290-F290)/ABS(F290))</x:f>
        <x:v>0.26178050910523254</x:v>
      </x:c>
      <x:c r="H290" s="5" t="str">
        <x:v>TAALED</x:v>
      </x:c>
    </x:row>
    <x:row r="291">
      <x:c r="A291" s="5" t="str">
        <x:v>P3</x:v>
      </x:c>
      <x:c r="B291" s="5" t="str">
        <x:v>PXL_20230420_221051779_2_transcription.xlsx</x:v>
      </x:c>
      <x:c r="C291" s="5" t="str">
        <x:v>P3_T4_corrected.txt</x:v>
      </x:c>
      <x:c r="D291" s="5" t="str">
        <x:v>mtld_mean_factor_length_aw</x:v>
      </x:c>
      <x:c r="E291" s="6" t="n">
        <x:v>36.862</x:v>
      </x:c>
      <x:c r="F291" s="6" t="n">
        <x:v>49.760380952380956</x:v>
      </x:c>
      <x:c r="G291" s="7" t="n">
        <x:f>IF(OR(E291="",F291="",F291=0),"",ABS(E291-F291)/ABS(F291))</x:f>
        <x:v>0.2592098514021482</x:v>
      </x:c>
      <x:c r="H291" s="5" t="str">
        <x:v>TAALED</x:v>
      </x:c>
    </x:row>
    <x:row r="292">
      <x:c r="A292" s="5" t="str">
        <x:v>P3</x:v>
      </x:c>
      <x:c r="B292" s="5" t="str">
        <x:v>PXL_20230420_221051779_2_transcription.xlsx</x:v>
      </x:c>
      <x:c r="C292" s="5" t="str">
        <x:v>P3_T4_corrected.txt</x:v>
      </x:c>
      <x:c r="D292" s="5" t="str">
        <x:v>total_utterances</x:v>
      </x:c>
      <x:c r="E292" s="6" t="n">
        <x:v>51</x:v>
      </x:c>
      <x:c r="F292" s="6" t="n">
        <x:v>51</x:v>
      </x:c>
      <x:c r="G292" s="7" t="n">
        <x:f>IF(OR(E292="",F292="",F292=0),"",ABS(E292-F292)/ABS(F292))</x:f>
        <x:v>0</x:v>
      </x:c>
      <x:c r="H292" s="5" t="str">
        <x:v>CLAN</x:v>
      </x:c>
    </x:row>
    <x:row r="293">
      <x:c r="A293" s="5" t="str">
        <x:v>P3</x:v>
      </x:c>
      <x:c r="B293" s="5" t="str">
        <x:v>PXL_20230420_221051779_2_transcription.xlsx</x:v>
      </x:c>
      <x:c r="C293" s="5" t="str">
        <x:v>P3_T4_corrected.txt</x:v>
      </x:c>
      <x:c r="D293" s="5" t="str">
        <x:v>total_words</x:v>
      </x:c>
      <x:c r="E293" s="6" t="n">
        <x:v>681</x:v>
      </x:c>
      <x:c r="F293" s="6" t="n">
        <x:v>634</x:v>
      </x:c>
      <x:c r="G293" s="7" t="n">
        <x:f>IF(OR(E293="",F293="",F293=0),"",ABS(E293-F293)/ABS(F293))</x:f>
        <x:v>0.07413249211356467</x:v>
      </x:c>
      <x:c r="H293" s="5" t="str">
        <x:v>CLAN</x:v>
      </x:c>
    </x:row>
    <x:row r="294">
      <x:c r="A294" s="5" t="str">
        <x:v>P3</x:v>
      </x:c>
      <x:c r="B294" s="5" t="str">
        <x:v>PXL_20230420_221051779_2_transcription.xlsx</x:v>
      </x:c>
      <x:c r="C294" s="5" t="str">
        <x:v>P3_T4_corrected.txt</x:v>
      </x:c>
      <x:c r="D294" s="5" t="str">
        <x:v>mlu_words</x:v>
      </x:c>
      <x:c r="E294" s="6" t="n">
        <x:v>13.352941176470589</x:v>
      </x:c>
      <x:c r="F294" s="6" t="n">
        <x:v>12.431</x:v>
      </x:c>
      <x:c r="G294" s="7" t="n">
        <x:f>IF(OR(E294="",F294="",F294=0),"",ABS(E294-F294)/ABS(F294))</x:f>
        <x:v>0.07416468316873862</x:v>
      </x:c>
      <x:c r="H294" s="5" t="str">
        <x:v>CLAN</x:v>
      </x:c>
    </x:row>
    <x:row r="295">
      <x:c r="A295" s="5" t="str">
        <x:v>P3</x:v>
      </x:c>
      <x:c r="B295" s="5" t="str">
        <x:v>PXL_20230420_221051779_2_transcription.xlsx</x:v>
      </x:c>
      <x:c r="C295" s="5" t="str">
        <x:v>P3_T4_corrected.txt</x:v>
      </x:c>
      <x:c r="D295" s="5" t="str">
        <x:v>mlu_words_sd</x:v>
      </x:c>
      <x:c r="E295" s="6" t="n">
        <x:v>9.026808719763949</x:v>
      </x:c>
      <x:c r="F295" s="6" t="n">
        <x:v>7.974</x:v>
      </x:c>
      <x:c r="G295" s="7" t="n">
        <x:f>IF(OR(E295="",F295="",F295=0),"",ABS(E295-F295)/ABS(F295))</x:f>
        <x:v>0.1320301880817593</x:v>
      </x:c>
      <x:c r="H295" s="5" t="str">
        <x:v>CLAN</x:v>
      </x:c>
    </x:row>
    <x:row r="296">
      <x:c r="A296" s="5" t="str">
        <x:v>P4</x:v>
      </x:c>
      <x:c r="B296" s="5" t="str">
        <x:v>PXL_20230425_175033658_transcription.xlsx</x:v>
      </x:c>
      <x:c r="C296" s="5" t="str">
        <x:v>P4_T1_corrected.txt</x:v>
      </x:c>
      <x:c r="D296" s="5" t="str">
        <x:v>basic_ntokens</x:v>
      </x:c>
      <x:c r="E296" s="6" t="n">
        <x:v>426</x:v>
      </x:c>
      <x:c r="F296" s="6" t="n">
        <x:v>435</x:v>
      </x:c>
      <x:c r="G296" s="7" t="n">
        <x:f>IF(OR(E296="",F296="",F296=0),"",ABS(E296-F296)/ABS(F296))</x:f>
        <x:v>0.020689655172413793</x:v>
      </x:c>
      <x:c r="H296" s="5" t="str">
        <x:v>TAALED</x:v>
      </x:c>
    </x:row>
    <x:row r="297">
      <x:c r="A297" s="5" t="str">
        <x:v>P4</x:v>
      </x:c>
      <x:c r="B297" s="5" t="str">
        <x:v>PXL_20230425_175033658_transcription.xlsx</x:v>
      </x:c>
      <x:c r="C297" s="5" t="str">
        <x:v>P4_T1_corrected.txt</x:v>
      </x:c>
      <x:c r="D297" s="5" t="str">
        <x:v>basic_ntypes</x:v>
      </x:c>
      <x:c r="E297" s="6" t="n">
        <x:v>159</x:v>
      </x:c>
      <x:c r="F297" s="6" t="n">
        <x:v>158</x:v>
      </x:c>
      <x:c r="G297" s="7" t="n">
        <x:f>IF(OR(E297="",F297="",F297=0),"",ABS(E297-F297)/ABS(F297))</x:f>
        <x:v>0.006329113924050633</x:v>
      </x:c>
      <x:c r="H297" s="5" t="str">
        <x:v>TAALED</x:v>
      </x:c>
    </x:row>
    <x:row r="298">
      <x:c r="A298" s="5" t="str">
        <x:v>P4</x:v>
      </x:c>
      <x:c r="B298" s="5" t="str">
        <x:v>PXL_20230425_175033658_transcription.xlsx</x:v>
      </x:c>
      <x:c r="C298" s="5" t="str">
        <x:v>P4_T1_corrected.txt</x:v>
      </x:c>
      <x:c r="D298" s="5" t="str">
        <x:v>basic_ncontent_tokens</x:v>
      </x:c>
      <x:c r="E298" s="6" t="n">
        <x:v>154</x:v>
      </x:c>
      <x:c r="F298" s="6" t="n">
        <x:v>196</x:v>
      </x:c>
      <x:c r="G298" s="7" t="n">
        <x:f>IF(OR(E298="",F298="",F298=0),"",ABS(E298-F298)/ABS(F298))</x:f>
        <x:v>0.21428571428571427</x:v>
      </x:c>
      <x:c r="H298" s="5" t="str">
        <x:v>TAALED</x:v>
      </x:c>
    </x:row>
    <x:row r="299">
      <x:c r="A299" s="5" t="str">
        <x:v>P4</x:v>
      </x:c>
      <x:c r="B299" s="5" t="str">
        <x:v>PXL_20230425_175033658_transcription.xlsx</x:v>
      </x:c>
      <x:c r="C299" s="5" t="str">
        <x:v>P4_T1_corrected.txt</x:v>
      </x:c>
      <x:c r="D299" s="5" t="str">
        <x:v>basic_ncontent_types</x:v>
      </x:c>
      <x:c r="E299" s="6" t="n">
        <x:v>98</x:v>
      </x:c>
      <x:c r="F299" s="6" t="n">
        <x:v>101</x:v>
      </x:c>
      <x:c r="G299" s="7" t="n">
        <x:f>IF(OR(E299="",F299="",F299=0),"",ABS(E299-F299)/ABS(F299))</x:f>
        <x:v>0.0297029702970297</x:v>
      </x:c>
      <x:c r="H299" s="5" t="str">
        <x:v>TAALED</x:v>
      </x:c>
    </x:row>
    <x:row r="300">
      <x:c r="A300" s="5" t="str">
        <x:v>P4</x:v>
      </x:c>
      <x:c r="B300" s="5" t="str">
        <x:v>PXL_20230425_175033658_transcription.xlsx</x:v>
      </x:c>
      <x:c r="C300" s="5" t="str">
        <x:v>P4_T1_corrected.txt</x:v>
      </x:c>
      <x:c r="D300" s="5" t="str">
        <x:v>basic_nfunction_tokens</x:v>
      </x:c>
      <x:c r="E300" s="6" t="n">
        <x:v>272</x:v>
      </x:c>
      <x:c r="F300" s="6" t="n">
        <x:v>239</x:v>
      </x:c>
      <x:c r="G300" s="7" t="n">
        <x:f>IF(OR(E300="",F300="",F300=0),"",ABS(E300-F300)/ABS(F300))</x:f>
        <x:v>0.13807531380753138</x:v>
      </x:c>
      <x:c r="H300" s="5" t="str">
        <x:v>TAALED</x:v>
      </x:c>
    </x:row>
    <x:row r="301">
      <x:c r="A301" s="5" t="str">
        <x:v>P4</x:v>
      </x:c>
      <x:c r="B301" s="5" t="str">
        <x:v>PXL_20230425_175033658_transcription.xlsx</x:v>
      </x:c>
      <x:c r="C301" s="5" t="str">
        <x:v>P4_T1_corrected.txt</x:v>
      </x:c>
      <x:c r="D301" s="5" t="str">
        <x:v>basic_nfunction_types</x:v>
      </x:c>
      <x:c r="E301" s="6" t="n">
        <x:v>61</x:v>
      </x:c>
      <x:c r="F301" s="6" t="n">
        <x:v>57</x:v>
      </x:c>
      <x:c r="G301" s="7" t="n">
        <x:f>IF(OR(E301="",F301="",F301=0),"",ABS(E301-F301)/ABS(F301))</x:f>
        <x:v>0.07017543859649122</x:v>
      </x:c>
      <x:c r="H301" s="5" t="str">
        <x:v>TAALED</x:v>
      </x:c>
    </x:row>
    <x:row r="302">
      <x:c r="A302" s="5" t="str">
        <x:v>P4</x:v>
      </x:c>
      <x:c r="B302" s="5" t="str">
        <x:v>PXL_20230425_175033658_transcription.xlsx</x:v>
      </x:c>
      <x:c r="C302" s="5" t="str">
        <x:v>P4_T1_corrected.txt</x:v>
      </x:c>
      <x:c r="D302" s="5" t="str">
        <x:v>lexical_density_tokens</x:v>
      </x:c>
      <x:c r="E302" s="6" t="n">
        <x:v>0.3615023474178404</x:v>
      </x:c>
      <x:c r="F302" s="6" t="n">
        <x:v>0.45057471264367815</x:v>
      </x:c>
      <x:c r="G302" s="7" t="n">
        <x:f>IF(OR(E302="",F302="",F302=0),"",ABS(E302-F302)/ABS(F302))</x:f>
        <x:v>0.1976861167002012</x:v>
      </x:c>
      <x:c r="H302" s="5" t="str">
        <x:v>TAALED</x:v>
      </x:c>
    </x:row>
    <x:row r="303">
      <x:c r="A303" s="5" t="str">
        <x:v>P4</x:v>
      </x:c>
      <x:c r="B303" s="5" t="str">
        <x:v>PXL_20230425_175033658_transcription.xlsx</x:v>
      </x:c>
      <x:c r="C303" s="5" t="str">
        <x:v>P4_T1_corrected.txt</x:v>
      </x:c>
      <x:c r="D303" s="5" t="str">
        <x:v>lexical_density_types</x:v>
      </x:c>
      <x:c r="E303" s="6" t="n">
        <x:v>0.6163522012578616</x:v>
      </x:c>
      <x:c r="F303" s="6" t="n">
        <x:v>0.6392405063291139</x:v>
      </x:c>
      <x:c r="G303" s="7" t="n">
        <x:f>IF(OR(E303="",F303="",F303=0),"",ABS(E303-F303)/ABS(F303))</x:f>
        <x:v>0.035805467339186735</x:v>
      </x:c>
      <x:c r="H303" s="5" t="str">
        <x:v>TAALED</x:v>
      </x:c>
    </x:row>
    <x:row r="304">
      <x:c r="A304" s="5" t="str">
        <x:v>P4</x:v>
      </x:c>
      <x:c r="B304" s="5" t="str">
        <x:v>PXL_20230425_175033658_transcription.xlsx</x:v>
      </x:c>
      <x:c r="C304" s="5" t="str">
        <x:v>P4_T1_corrected.txt</x:v>
      </x:c>
      <x:c r="D304" s="5" t="str">
        <x:v>simple_ttr_aw</x:v>
      </x:c>
      <x:c r="E304" s="6" t="n">
        <x:v>0.3732394366197183</x:v>
      </x:c>
      <x:c r="F304" s="6" t="n">
        <x:v>0.3632183908045977</x:v>
      </x:c>
      <x:c r="G304" s="7" t="n">
        <x:f>IF(OR(E304="",F304="",F304=0),"",ABS(E304-F304)/ABS(F304))</x:f>
        <x:v>0.02758958816188263</x:v>
      </x:c>
      <x:c r="H304" s="5" t="str">
        <x:v>TAALED</x:v>
      </x:c>
    </x:row>
    <x:row r="305">
      <x:c r="A305" s="5" t="str">
        <x:v>P4</x:v>
      </x:c>
      <x:c r="B305" s="5" t="str">
        <x:v>PXL_20230425_175033658_transcription.xlsx</x:v>
      </x:c>
      <x:c r="C305" s="5" t="str">
        <x:v>P4_T1_corrected.txt</x:v>
      </x:c>
      <x:c r="D305" s="5" t="str">
        <x:v>root_ttr_aw</x:v>
      </x:c>
      <x:c r="E305" s="6" t="n">
        <x:v>7.7035751714729965</x:v>
      </x:c>
      <x:c r="F305" s="6" t="n">
        <x:v>7.575520163469069</x:v>
      </x:c>
      <x:c r="G305" s="7" t="n">
        <x:f>IF(OR(E305="",F305="",F305=0),"",ABS(E305-F305)/ABS(F305))</x:f>
        <x:v>0.016903790794649102</x:v>
      </x:c>
      <x:c r="H305" s="5" t="str">
        <x:v>TAALED</x:v>
      </x:c>
    </x:row>
    <x:row r="306">
      <x:c r="A306" s="5" t="str">
        <x:v>P4</x:v>
      </x:c>
      <x:c r="B306" s="5" t="str">
        <x:v>PXL_20230425_175033658_transcription.xlsx</x:v>
      </x:c>
      <x:c r="C306" s="5" t="str">
        <x:v>P4_T1_corrected.txt</x:v>
      </x:c>
      <x:c r="D306" s="5" t="str">
        <x:v>log_ttr_aw</x:v>
      </x:c>
      <x:c r="E306" s="6" t="n">
        <x:v>0.8372210723927052</x:v>
      </x:c>
      <x:c r="F306" s="6" t="n">
        <x:v>0.8333015119008398</x:v>
      </x:c>
      <x:c r="G306" s="7" t="n">
        <x:f>IF(OR(E306="",F306="",F306=0),"",ABS(E306-F306)/ABS(F306))</x:f>
        <x:v>0.004703652202579689</x:v>
      </x:c>
      <x:c r="H306" s="5" t="str">
        <x:v>TAALED</x:v>
      </x:c>
    </x:row>
    <x:row r="307">
      <x:c r="A307" s="5" t="str">
        <x:v>P4</x:v>
      </x:c>
      <x:c r="B307" s="5" t="str">
        <x:v>PXL_20230425_175033658_transcription.xlsx</x:v>
      </x:c>
      <x:c r="C307" s="5" t="str">
        <x:v>P4_T1_corrected.txt</x:v>
      </x:c>
      <x:c r="D307" s="5" t="str">
        <x:v>maas_ttr_aw</x:v>
      </x:c>
      <x:c r="E307" s="6" t="n">
        <x:v>0.061907025692323786</x:v>
      </x:c>
      <x:c r="F307" s="6" t="n">
        <x:v>0.06317952125814785</x:v>
      </x:c>
      <x:c r="G307" s="7" t="n">
        <x:f>IF(OR(E307="",F307="",F307=0),"",ABS(E307-F307)/ABS(F307))</x:f>
        <x:v>0.02014094979644945</x:v>
      </x:c>
      <x:c r="H307" s="5" t="str">
        <x:v>TAALED</x:v>
      </x:c>
    </x:row>
    <x:row r="308">
      <x:c r="A308" s="5" t="str">
        <x:v>P4</x:v>
      </x:c>
      <x:c r="B308" s="5" t="str">
        <x:v>PXL_20230425_175033658_transcription.xlsx</x:v>
      </x:c>
      <x:c r="C308" s="5" t="str">
        <x:v>P4_T1_corrected.txt</x:v>
      </x:c>
      <x:c r="D308" s="5" t="str">
        <x:v>mattr50_aw</x:v>
      </x:c>
      <x:c r="E308" s="6" t="n">
        <x:v>0.6874801061007958</x:v>
      </x:c>
      <x:c r="F308" s="6" t="n">
        <x:v>0.6932642487046632</x:v>
      </x:c>
      <x:c r="G308" s="7" t="n">
        <x:f>IF(OR(E308="",F308="",F308=0),"",ABS(E308-F308)/ABS(F308))</x:f>
        <x:v>0.008343344712603937</x:v>
      </x:c>
      <x:c r="H308" s="5" t="str">
        <x:v>TAALED</x:v>
      </x:c>
    </x:row>
    <x:row r="309">
      <x:c r="A309" s="5" t="str">
        <x:v>P4</x:v>
      </x:c>
      <x:c r="B309" s="5" t="str">
        <x:v>PXL_20230425_175033658_transcription.xlsx</x:v>
      </x:c>
      <x:c r="C309" s="5" t="str">
        <x:v>P4_T1_corrected.txt</x:v>
      </x:c>
      <x:c r="D309" s="5" t="str">
        <x:v>msttr50_aw</x:v>
      </x:c>
      <x:c r="E309" s="6" t="n">
        <x:v>0.6900000000000001</x:v>
      </x:c>
      <x:c r="F309" s="6" t="n">
        <x:v>0.705</x:v>
      </x:c>
      <x:c r="G309" s="7" t="n">
        <x:f>IF(OR(E309="",F309="",F309=0),"",ABS(E309-F309)/ABS(F309))</x:f>
        <x:v>0.021276595744680715</x:v>
      </x:c>
      <x:c r="H309" s="5" t="str">
        <x:v>TAALED</x:v>
      </x:c>
    </x:row>
    <x:row r="310">
      <x:c r="A310" s="5" t="str">
        <x:v>P4</x:v>
      </x:c>
      <x:c r="B310" s="5" t="str">
        <x:v>PXL_20230425_175033658_transcription.xlsx</x:v>
      </x:c>
      <x:c r="C310" s="5" t="str">
        <x:v>P4_T1_corrected.txt</x:v>
      </x:c>
      <x:c r="D310" s="5" t="str">
        <x:v>hdd42_aw</x:v>
      </x:c>
      <x:c r="E310" s="6" t="n">
        <x:v>0.7681519645326654</x:v>
      </x:c>
      <x:c r="F310" s="6" t="n">
        <x:v>0.7752036561344698</x:v>
      </x:c>
      <x:c r="G310" s="7" t="n">
        <x:f>IF(OR(E310="",F310="",F310=0),"",ABS(E310-F310)/ABS(F310))</x:f>
        <x:v>0.009096566490627072</x:v>
      </x:c>
      <x:c r="H310" s="5" t="str">
        <x:v>TAALED</x:v>
      </x:c>
    </x:row>
    <x:row r="311">
      <x:c r="A311" s="5" t="str">
        <x:v>P4</x:v>
      </x:c>
      <x:c r="B311" s="5" t="str">
        <x:v>PXL_20230425_175033658_transcription.xlsx</x:v>
      </x:c>
      <x:c r="C311" s="5" t="str">
        <x:v>P4_T1_corrected.txt</x:v>
      </x:c>
      <x:c r="D311" s="5" t="str">
        <x:v>mtld_original_aw</x:v>
      </x:c>
      <x:c r="E311" s="6" t="n">
        <x:v>33.2453067108996</x:v>
      </x:c>
      <x:c r="F311" s="6" t="n">
        <x:v>34.742683572800104</x:v>
      </x:c>
      <x:c r="G311" s="7" t="n">
        <x:f>IF(OR(E311="",F311="",F311=0),"",ABS(E311-F311)/ABS(F311))</x:f>
        <x:v>0.04309905591382686</x:v>
      </x:c>
      <x:c r="H311" s="5" t="str">
        <x:v>TAALED</x:v>
      </x:c>
    </x:row>
    <x:row r="312">
      <x:c r="A312" s="5" t="str">
        <x:v>P4</x:v>
      </x:c>
      <x:c r="B312" s="5" t="str">
        <x:v>PXL_20230425_175033658_transcription.xlsx</x:v>
      </x:c>
      <x:c r="C312" s="5" t="str">
        <x:v>P4_T1_corrected.txt</x:v>
      </x:c>
      <x:c r="D312" s="5" t="str">
        <x:v>mtld_mean_factor_length_aw</x:v>
      </x:c>
      <x:c r="E312" s="6" t="n">
        <x:v>34.43555555555556</x:v>
      </x:c>
      <x:c r="F312" s="6" t="n">
        <x:v>34.270384615384614</x:v>
      </x:c>
      <x:c r="G312" s="7" t="n">
        <x:f>IF(OR(E312="",F312="",F312=0),"",ABS(E312-F312)/ABS(F312))</x:f>
        <x:v>0.004819640690486941</x:v>
      </x:c>
      <x:c r="H312" s="5" t="str">
        <x:v>TAALED</x:v>
      </x:c>
    </x:row>
    <x:row r="313">
      <x:c r="A313" s="5" t="str">
        <x:v>P4</x:v>
      </x:c>
      <x:c r="B313" s="5" t="str">
        <x:v>PXL_20230425_175033658_transcription.xlsx</x:v>
      </x:c>
      <x:c r="C313" s="5" t="str">
        <x:v>P4_T1_corrected.txt</x:v>
      </x:c>
      <x:c r="D313" s="5" t="str">
        <x:v>total_utterances</x:v>
      </x:c>
      <x:c r="E313" s="6" t="n">
        <x:v>101</x:v>
      </x:c>
      <x:c r="F313" s="6" t="n">
        <x:v>91</x:v>
      </x:c>
      <x:c r="G313" s="7" t="n">
        <x:f>IF(OR(E313="",F313="",F313=0),"",ABS(E313-F313)/ABS(F313))</x:f>
        <x:v>0.10989010989010989</x:v>
      </x:c>
      <x:c r="H313" s="5" t="str">
        <x:v>CLAN</x:v>
      </x:c>
    </x:row>
    <x:row r="314">
      <x:c r="A314" s="5" t="str">
        <x:v>P4</x:v>
      </x:c>
      <x:c r="B314" s="5" t="str">
        <x:v>PXL_20230425_175033658_transcription.xlsx</x:v>
      </x:c>
      <x:c r="C314" s="5" t="str">
        <x:v>P4_T1_corrected.txt</x:v>
      </x:c>
      <x:c r="D314" s="5" t="str">
        <x:v>total_words</x:v>
      </x:c>
      <x:c r="E314" s="6" t="n">
        <x:v>413</x:v>
      </x:c>
      <x:c r="F314" s="6" t="n">
        <x:v>404</x:v>
      </x:c>
      <x:c r="G314" s="7" t="n">
        <x:f>IF(OR(E314="",F314="",F314=0),"",ABS(E314-F314)/ABS(F314))</x:f>
        <x:v>0.022277227722772276</x:v>
      </x:c>
      <x:c r="H314" s="5" t="str">
        <x:v>CLAN</x:v>
      </x:c>
    </x:row>
    <x:row r="315">
      <x:c r="A315" s="5" t="str">
        <x:v>P4</x:v>
      </x:c>
      <x:c r="B315" s="5" t="str">
        <x:v>PXL_20230425_175033658_transcription.xlsx</x:v>
      </x:c>
      <x:c r="C315" s="5" t="str">
        <x:v>P4_T1_corrected.txt</x:v>
      </x:c>
      <x:c r="D315" s="5" t="str">
        <x:v>mlu_words</x:v>
      </x:c>
      <x:c r="E315" s="6" t="n">
        <x:v>4.089108910891089</x:v>
      </x:c>
      <x:c r="F315" s="6" t="n">
        <x:v>4.44</x:v>
      </x:c>
      <x:c r="G315" s="7" t="n">
        <x:f>IF(OR(E315="",F315="",F315=0),"",ABS(E315-F315)/ABS(F315))</x:f>
        <x:v>0.0790295245740791</x:v>
      </x:c>
      <x:c r="H315" s="5" t="str">
        <x:v>CLAN</x:v>
      </x:c>
    </x:row>
    <x:row r="316">
      <x:c r="A316" s="5" t="str">
        <x:v>P4</x:v>
      </x:c>
      <x:c r="B316" s="5" t="str">
        <x:v>PXL_20230425_175033658_transcription.xlsx</x:v>
      </x:c>
      <x:c r="C316" s="5" t="str">
        <x:v>P4_T1_corrected.txt</x:v>
      </x:c>
      <x:c r="D316" s="5" t="str">
        <x:v>mlu_words_sd</x:v>
      </x:c>
      <x:c r="E316" s="6" t="n">
        <x:v>5.015024969387886</x:v>
      </x:c>
      <x:c r="F316" s="6" t="n">
        <x:v>5.814</x:v>
      </x:c>
      <x:c r="G316" s="7" t="n">
        <x:f>IF(OR(E316="",F316="",F316=0),"",ABS(E316-F316)/ABS(F316))</x:f>
        <x:v>0.13742260588443656</x:v>
      </x:c>
      <x:c r="H316" s="5" t="str">
        <x:v>CLAN</x:v>
      </x:c>
    </x:row>
    <x:row r="317">
      <x:c r="A317" s="5" t="str">
        <x:v>P4</x:v>
      </x:c>
      <x:c r="B317" s="5" t="str">
        <x:v>PXL_20230425_175911582_transcription.xlsx</x:v>
      </x:c>
      <x:c r="C317" s="5" t="str">
        <x:v>P4_T2_corrected.txt</x:v>
      </x:c>
      <x:c r="D317" s="5" t="str">
        <x:v>basic_ntokens</x:v>
      </x:c>
      <x:c r="E317" s="6" t="n">
        <x:v>595</x:v>
      </x:c>
      <x:c r="F317" s="6" t="n">
        <x:v>592</x:v>
      </x:c>
      <x:c r="G317" s="7" t="n">
        <x:f>IF(OR(E317="",F317="",F317=0),"",ABS(E317-F317)/ABS(F317))</x:f>
        <x:v>0.005067567567567568</x:v>
      </x:c>
      <x:c r="H317" s="5" t="str">
        <x:v>TAALED</x:v>
      </x:c>
    </x:row>
    <x:row r="318">
      <x:c r="A318" s="5" t="str">
        <x:v>P4</x:v>
      </x:c>
      <x:c r="B318" s="5" t="str">
        <x:v>PXL_20230425_175911582_transcription.xlsx</x:v>
      </x:c>
      <x:c r="C318" s="5" t="str">
        <x:v>P4_T2_corrected.txt</x:v>
      </x:c>
      <x:c r="D318" s="5" t="str">
        <x:v>basic_ntypes</x:v>
      </x:c>
      <x:c r="E318" s="6" t="n">
        <x:v>190</x:v>
      </x:c>
      <x:c r="F318" s="6" t="n">
        <x:v>190</x:v>
      </x:c>
      <x:c r="G318" s="7" t="n">
        <x:f>IF(OR(E318="",F318="",F318=0),"",ABS(E318-F318)/ABS(F318))</x:f>
        <x:v>0</x:v>
      </x:c>
      <x:c r="H318" s="5" t="str">
        <x:v>TAALED</x:v>
      </x:c>
    </x:row>
    <x:row r="319">
      <x:c r="A319" s="5" t="str">
        <x:v>P4</x:v>
      </x:c>
      <x:c r="B319" s="5" t="str">
        <x:v>PXL_20230425_175911582_transcription.xlsx</x:v>
      </x:c>
      <x:c r="C319" s="5" t="str">
        <x:v>P4_T2_corrected.txt</x:v>
      </x:c>
      <x:c r="D319" s="5" t="str">
        <x:v>basic_ncontent_tokens</x:v>
      </x:c>
      <x:c r="E319" s="6" t="n">
        <x:v>226</x:v>
      </x:c>
      <x:c r="F319" s="6" t="n">
        <x:v>226</x:v>
      </x:c>
      <x:c r="G319" s="7" t="n">
        <x:f>IF(OR(E319="",F319="",F319=0),"",ABS(E319-F319)/ABS(F319))</x:f>
        <x:v>0</x:v>
      </x:c>
      <x:c r="H319" s="5" t="str">
        <x:v>TAALED</x:v>
      </x:c>
    </x:row>
    <x:row r="320">
      <x:c r="A320" s="5" t="str">
        <x:v>P4</x:v>
      </x:c>
      <x:c r="B320" s="5" t="str">
        <x:v>PXL_20230425_175911582_transcription.xlsx</x:v>
      </x:c>
      <x:c r="C320" s="5" t="str">
        <x:v>P4_T2_corrected.txt</x:v>
      </x:c>
      <x:c r="D320" s="5" t="str">
        <x:v>basic_ncontent_types</x:v>
      </x:c>
      <x:c r="E320" s="6" t="n">
        <x:v>124</x:v>
      </x:c>
      <x:c r="F320" s="6" t="n">
        <x:v>124</x:v>
      </x:c>
      <x:c r="G320" s="7" t="n">
        <x:f>IF(OR(E320="",F320="",F320=0),"",ABS(E320-F320)/ABS(F320))</x:f>
        <x:v>0</x:v>
      </x:c>
      <x:c r="H320" s="5" t="str">
        <x:v>TAALED</x:v>
      </x:c>
    </x:row>
    <x:row r="321">
      <x:c r="A321" s="5" t="str">
        <x:v>P4</x:v>
      </x:c>
      <x:c r="B321" s="5" t="str">
        <x:v>PXL_20230425_175911582_transcription.xlsx</x:v>
      </x:c>
      <x:c r="C321" s="5" t="str">
        <x:v>P4_T2_corrected.txt</x:v>
      </x:c>
      <x:c r="D321" s="5" t="str">
        <x:v>basic_nfunction_tokens</x:v>
      </x:c>
      <x:c r="E321" s="6" t="n">
        <x:v>369</x:v>
      </x:c>
      <x:c r="F321" s="6" t="n">
        <x:v>366</x:v>
      </x:c>
      <x:c r="G321" s="7" t="n">
        <x:f>IF(OR(E321="",F321="",F321=0),"",ABS(E321-F321)/ABS(F321))</x:f>
        <x:v>0.00819672131147541</x:v>
      </x:c>
      <x:c r="H321" s="5" t="str">
        <x:v>TAALED</x:v>
      </x:c>
    </x:row>
    <x:row r="322">
      <x:c r="A322" s="5" t="str">
        <x:v>P4</x:v>
      </x:c>
      <x:c r="B322" s="5" t="str">
        <x:v>PXL_20230425_175911582_transcription.xlsx</x:v>
      </x:c>
      <x:c r="C322" s="5" t="str">
        <x:v>P4_T2_corrected.txt</x:v>
      </x:c>
      <x:c r="D322" s="5" t="str">
        <x:v>basic_nfunction_types</x:v>
      </x:c>
      <x:c r="E322" s="6" t="n">
        <x:v>66</x:v>
      </x:c>
      <x:c r="F322" s="6" t="n">
        <x:v>66</x:v>
      </x:c>
      <x:c r="G322" s="7" t="n">
        <x:f>IF(OR(E322="",F322="",F322=0),"",ABS(E322-F322)/ABS(F322))</x:f>
        <x:v>0</x:v>
      </x:c>
      <x:c r="H322" s="5" t="str">
        <x:v>TAALED</x:v>
      </x:c>
    </x:row>
    <x:row r="323">
      <x:c r="A323" s="5" t="str">
        <x:v>P4</x:v>
      </x:c>
      <x:c r="B323" s="5" t="str">
        <x:v>PXL_20230425_175911582_transcription.xlsx</x:v>
      </x:c>
      <x:c r="C323" s="5" t="str">
        <x:v>P4_T2_corrected.txt</x:v>
      </x:c>
      <x:c r="D323" s="5" t="str">
        <x:v>lexical_density_tokens</x:v>
      </x:c>
      <x:c r="E323" s="6" t="n">
        <x:v>0.3798319327731092</x:v>
      </x:c>
      <x:c r="F323" s="6" t="n">
        <x:v>0.38175675675675674</x:v>
      </x:c>
      <x:c r="G323" s="7" t="n">
        <x:f>IF(OR(E323="",F323="",F323=0),"",ABS(E323-F323)/ABS(F323))</x:f>
        <x:v>0.005042016806722699</x:v>
      </x:c>
      <x:c r="H323" s="5" t="str">
        <x:v>TAALED</x:v>
      </x:c>
    </x:row>
    <x:row r="324">
      <x:c r="A324" s="5" t="str">
        <x:v>P4</x:v>
      </x:c>
      <x:c r="B324" s="5" t="str">
        <x:v>PXL_20230425_175911582_transcription.xlsx</x:v>
      </x:c>
      <x:c r="C324" s="5" t="str">
        <x:v>P4_T2_corrected.txt</x:v>
      </x:c>
      <x:c r="D324" s="5" t="str">
        <x:v>lexical_density_types</x:v>
      </x:c>
      <x:c r="E324" s="6" t="n">
        <x:v>0.6526315789473685</x:v>
      </x:c>
      <x:c r="F324" s="6" t="n">
        <x:v>0.6526315789473685</x:v>
      </x:c>
      <x:c r="G324" s="7" t="n">
        <x:f>IF(OR(E324="",F324="",F324=0),"",ABS(E324-F324)/ABS(F324))</x:f>
        <x:v>0</x:v>
      </x:c>
      <x:c r="H324" s="5" t="str">
        <x:v>TAALED</x:v>
      </x:c>
    </x:row>
    <x:row r="325">
      <x:c r="A325" s="5" t="str">
        <x:v>P4</x:v>
      </x:c>
      <x:c r="B325" s="5" t="str">
        <x:v>PXL_20230425_175911582_transcription.xlsx</x:v>
      </x:c>
      <x:c r="C325" s="5" t="str">
        <x:v>P4_T2_corrected.txt</x:v>
      </x:c>
      <x:c r="D325" s="5" t="str">
        <x:v>simple_ttr_aw</x:v>
      </x:c>
      <x:c r="E325" s="6" t="n">
        <x:v>0.31932773109243695</x:v>
      </x:c>
      <x:c r="F325" s="6" t="n">
        <x:v>0.32094594594594594</x:v>
      </x:c>
      <x:c r="G325" s="7" t="n">
        <x:f>IF(OR(E325="",F325="",F325=0),"",ABS(E325-F325)/ABS(F325))</x:f>
        <x:v>0.005042016806722755</x:v>
      </x:c>
      <x:c r="H325" s="5" t="str">
        <x:v>TAALED</x:v>
      </x:c>
    </x:row>
    <x:row r="326">
      <x:c r="A326" s="5" t="str">
        <x:v>P4</x:v>
      </x:c>
      <x:c r="B326" s="5" t="str">
        <x:v>PXL_20230425_175911582_transcription.xlsx</x:v>
      </x:c>
      <x:c r="C326" s="5" t="str">
        <x:v>P4_T2_corrected.txt</x:v>
      </x:c>
      <x:c r="D326" s="5" t="str">
        <x:v>root_ttr_aw</x:v>
      </x:c>
      <x:c r="E326" s="6" t="n">
        <x:v>7.789240586062483</x:v>
      </x:c>
      <x:c r="F326" s="6" t="n">
        <x:v>7.808951897004472</x:v>
      </x:c>
      <x:c r="G326" s="7" t="n">
        <x:f>IF(OR(E326="",F326="",F326=0),"",ABS(E326-F326)/ABS(F326))</x:f>
        <x:v>0.002524194181494437</x:v>
      </x:c>
      <x:c r="H326" s="5" t="str">
        <x:v>TAALED</x:v>
      </x:c>
    </x:row>
    <x:row r="327">
      <x:c r="A327" s="5" t="str">
        <x:v>P4</x:v>
      </x:c>
      <x:c r="B327" s="5" t="str">
        <x:v>PXL_20230425_175911582_transcription.xlsx</x:v>
      </x:c>
      <x:c r="C327" s="5" t="str">
        <x:v>P4_T2_corrected.txt</x:v>
      </x:c>
      <x:c r="D327" s="5" t="str">
        <x:v>log_ttr_aw</x:v>
      </x:c>
      <x:c r="E327" s="6" t="n">
        <x:v>0.8213154322357729</x:v>
      </x:c>
      <x:c r="F327" s="6" t="n">
        <x:v>0.8219657896941825</x:v>
      </x:c>
      <x:c r="G327" s="7" t="n">
        <x:f>IF(OR(E327="",F327="",F327=0),"",ABS(E327-F327)/ABS(F327))</x:f>
        <x:v>0.0007912220515304644</x:v>
      </x:c>
      <x:c r="H327" s="5" t="str">
        <x:v>TAALED</x:v>
      </x:c>
    </x:row>
    <x:row r="328">
      <x:c r="A328" s="5" t="str">
        <x:v>P4</x:v>
      </x:c>
      <x:c r="B328" s="5" t="str">
        <x:v>PXL_20230425_175911582_transcription.xlsx</x:v>
      </x:c>
      <x:c r="C328" s="5" t="str">
        <x:v>P4_T2_corrected.txt</x:v>
      </x:c>
      <x:c r="D328" s="5" t="str">
        <x:v>maas_ttr_aw</x:v>
      </x:c>
      <x:c r="E328" s="6" t="n">
        <x:v>0.06440204546282421</x:v>
      </x:c>
      <x:c r="F328" s="6" t="n">
        <x:v>0.06421845266878008</x:v>
      </x:c>
      <x:c r="G328" s="7" t="n">
        <x:f>IF(OR(E328="",F328="",F328=0),"",ABS(E328-F328)/ABS(F328))</x:f>
        <x:v>0.002858879129197491</x:v>
      </x:c>
      <x:c r="H328" s="5" t="str">
        <x:v>TAALED</x:v>
      </x:c>
    </x:row>
    <x:row r="329">
      <x:c r="A329" s="5" t="str">
        <x:v>P4</x:v>
      </x:c>
      <x:c r="B329" s="5" t="str">
        <x:v>PXL_20230425_175911582_transcription.xlsx</x:v>
      </x:c>
      <x:c r="C329" s="5" t="str">
        <x:v>P4_T2_corrected.txt</x:v>
      </x:c>
      <x:c r="D329" s="5" t="str">
        <x:v>mattr50_aw</x:v>
      </x:c>
      <x:c r="E329" s="6" t="n">
        <x:v>0.6808424908424908</x:v>
      </x:c>
      <x:c r="F329" s="6" t="n">
        <x:v>0.6765009208103131</x:v>
      </x:c>
      <x:c r="G329" s="7" t="n">
        <x:f>IF(OR(E329="",F329="",F329=0),"",ABS(E329-F329)/ABS(F329))</x:f>
        <x:v>0.006417685325509073</x:v>
      </x:c>
      <x:c r="H329" s="5" t="str">
        <x:v>TAALED</x:v>
      </x:c>
    </x:row>
    <x:row r="330">
      <x:c r="A330" s="5" t="str">
        <x:v>P4</x:v>
      </x:c>
      <x:c r="B330" s="5" t="str">
        <x:v>PXL_20230425_175911582_transcription.xlsx</x:v>
      </x:c>
      <x:c r="C330" s="5" t="str">
        <x:v>P4_T2_corrected.txt</x:v>
      </x:c>
      <x:c r="D330" s="5" t="str">
        <x:v>msttr50_aw</x:v>
      </x:c>
      <x:c r="E330" s="6" t="n">
        <x:v>0.6818181818181818</x:v>
      </x:c>
      <x:c r="F330" s="6" t="n">
        <x:v>0.6799999999999999</x:v>
      </x:c>
      <x:c r="G330" s="7" t="n">
        <x:f>IF(OR(E330="",F330="",F330=0),"",ABS(E330-F330)/ABS(F330))</x:f>
        <x:v>0.002673796791443868</x:v>
      </x:c>
      <x:c r="H330" s="5" t="str">
        <x:v>TAALED</x:v>
      </x:c>
    </x:row>
    <x:row r="331">
      <x:c r="A331" s="5" t="str">
        <x:v>P4</x:v>
      </x:c>
      <x:c r="B331" s="5" t="str">
        <x:v>PXL_20230425_175911582_transcription.xlsx</x:v>
      </x:c>
      <x:c r="C331" s="5" t="str">
        <x:v>P4_T2_corrected.txt</x:v>
      </x:c>
      <x:c r="D331" s="5" t="str">
        <x:v>hdd42_aw</x:v>
      </x:c>
      <x:c r="E331" s="6" t="n">
        <x:v>0.7750603438670937</x:v>
      </x:c>
      <x:c r="F331" s="6" t="n">
        <x:v>0.7772106655793046</x:v>
      </x:c>
      <x:c r="G331" s="7" t="n">
        <x:f>IF(OR(E331="",F331="",F331=0),"",ABS(E331-F331)/ABS(F331))</x:f>
        <x:v>0.0027667166798440623</x:v>
      </x:c>
      <x:c r="H331" s="5" t="str">
        <x:v>TAALED</x:v>
      </x:c>
    </x:row>
    <x:row r="332">
      <x:c r="A332" s="5" t="str">
        <x:v>P4</x:v>
      </x:c>
      <x:c r="B332" s="5" t="str">
        <x:v>PXL_20230425_175911582_transcription.xlsx</x:v>
      </x:c>
      <x:c r="C332" s="5" t="str">
        <x:v>P4_T2_corrected.txt</x:v>
      </x:c>
      <x:c r="D332" s="5" t="str">
        <x:v>mtld_original_aw</x:v>
      </x:c>
      <x:c r="E332" s="6" t="n">
        <x:v>35.360034879180375</x:v>
      </x:c>
      <x:c r="F332" s="6" t="n">
        <x:v>35.696703903439655</x:v>
      </x:c>
      <x:c r="G332" s="7" t="n">
        <x:f>IF(OR(E332="",F332="",F332=0),"",ABS(E332-F332)/ABS(F332))</x:f>
        <x:v>0.009431375657819178</x:v>
      </x:c>
      <x:c r="H332" s="5" t="str">
        <x:v>TAALED</x:v>
      </x:c>
    </x:row>
    <x:row r="333">
      <x:c r="A333" s="5" t="str">
        <x:v>P4</x:v>
      </x:c>
      <x:c r="B333" s="5" t="str">
        <x:v>PXL_20230425_175911582_transcription.xlsx</x:v>
      </x:c>
      <x:c r="C333" s="5" t="str">
        <x:v>P4_T2_corrected.txt</x:v>
      </x:c>
      <x:c r="D333" s="5" t="str">
        <x:v>mtld_mean_factor_length_aw</x:v>
      </x:c>
      <x:c r="E333" s="6" t="n">
        <x:v>35.46364705882353</x:v>
      </x:c>
      <x:c r="F333" s="6" t="n">
        <x:v>35.466</x:v>
      </x:c>
      <x:c r="G333" s="7" t="n">
        <x:f>IF(OR(E333="",F333="",F333=0),"",ABS(E333-F333)/ABS(F333))</x:f>
        <x:v>0.00006634357346383714</x:v>
      </x:c>
      <x:c r="H333" s="5" t="str">
        <x:v>TAALED</x:v>
      </x:c>
    </x:row>
    <x:row r="334">
      <x:c r="A334" s="5" t="str">
        <x:v>P4</x:v>
      </x:c>
      <x:c r="B334" s="5" t="str">
        <x:v>PXL_20230425_175911582_transcription.xlsx</x:v>
      </x:c>
      <x:c r="C334" s="5" t="str">
        <x:v>P4_T2_corrected.txt</x:v>
      </x:c>
      <x:c r="D334" s="5" t="str">
        <x:v>total_utterances</x:v>
      </x:c>
      <x:c r="E334" s="6" t="n">
        <x:v>79</x:v>
      </x:c>
      <x:c r="F334" s="6" t="n">
        <x:v>60</x:v>
      </x:c>
      <x:c r="G334" s="7" t="n">
        <x:f>IF(OR(E334="",F334="",F334=0),"",ABS(E334-F334)/ABS(F334))</x:f>
        <x:v>0.31666666666666665</x:v>
      </x:c>
      <x:c r="H334" s="5" t="str">
        <x:v>CLAN</x:v>
      </x:c>
    </x:row>
    <x:row r="335">
      <x:c r="A335" s="5" t="str">
        <x:v>P4</x:v>
      </x:c>
      <x:c r="B335" s="5" t="str">
        <x:v>PXL_20230425_175911582_transcription.xlsx</x:v>
      </x:c>
      <x:c r="C335" s="5" t="str">
        <x:v>P4_T2_corrected.txt</x:v>
      </x:c>
      <x:c r="D335" s="5" t="str">
        <x:v>total_words</x:v>
      </x:c>
      <x:c r="E335" s="6" t="n">
        <x:v>571</x:v>
      </x:c>
      <x:c r="F335" s="6" t="n">
        <x:v>569</x:v>
      </x:c>
      <x:c r="G335" s="7" t="n">
        <x:f>IF(OR(E335="",F335="",F335=0),"",ABS(E335-F335)/ABS(F335))</x:f>
        <x:v>0.0035149384885764497</x:v>
      </x:c>
      <x:c r="H335" s="5" t="str">
        <x:v>CLAN</x:v>
      </x:c>
    </x:row>
    <x:row r="336">
      <x:c r="A336" s="5" t="str">
        <x:v>P4</x:v>
      </x:c>
      <x:c r="B336" s="5" t="str">
        <x:v>PXL_20230425_175911582_transcription.xlsx</x:v>
      </x:c>
      <x:c r="C336" s="5" t="str">
        <x:v>P4_T2_corrected.txt</x:v>
      </x:c>
      <x:c r="D336" s="5" t="str">
        <x:v>mlu_words</x:v>
      </x:c>
      <x:c r="E336" s="6" t="n">
        <x:v>7.227848101265823</x:v>
      </x:c>
      <x:c r="F336" s="6" t="n">
        <x:v>9.483</x:v>
      </x:c>
      <x:c r="G336" s="7" t="n">
        <x:f>IF(OR(E336="",F336="",F336=0),"",ABS(E336-F336)/ABS(F336))</x:f>
        <x:v>0.23780996506740243</x:v>
      </x:c>
      <x:c r="H336" s="5" t="str">
        <x:v>CLAN</x:v>
      </x:c>
    </x:row>
    <x:row r="337">
      <x:c r="A337" s="5" t="str">
        <x:v>P4</x:v>
      </x:c>
      <x:c r="B337" s="5" t="str">
        <x:v>PXL_20230425_175911582_transcription.xlsx</x:v>
      </x:c>
      <x:c r="C337" s="5" t="str">
        <x:v>P4_T2_corrected.txt</x:v>
      </x:c>
      <x:c r="D337" s="5" t="str">
        <x:v>mlu_words_sd</x:v>
      </x:c>
      <x:c r="E337" s="6" t="n">
        <x:v>6.018850908222249</x:v>
      </x:c>
      <x:c r="F337" s="6" t="n">
        <x:v>7.173</x:v>
      </x:c>
      <x:c r="G337" s="7" t="n">
        <x:f>IF(OR(E337="",F337="",F337=0),"",ABS(E337-F337)/ABS(F337))</x:f>
        <x:v>0.1609018669702706</x:v>
      </x:c>
      <x:c r="H337" s="5" t="str">
        <x:v>CLAN</x:v>
      </x:c>
    </x:row>
    <x:row r="338">
      <x:c r="A338" s="5" t="str">
        <x:v>P4</x:v>
      </x:c>
      <x:c r="B338" s="5" t="str">
        <x:v>PXL_20230425_181232768_transcription.xlsx</x:v>
      </x:c>
      <x:c r="C338" s="5" t="str">
        <x:v>P4_T3_corrected.txt</x:v>
      </x:c>
      <x:c r="D338" s="5" t="str">
        <x:v>basic_ntokens</x:v>
      </x:c>
      <x:c r="E338" s="6" t="n">
        <x:v>257</x:v>
      </x:c>
      <x:c r="F338" s="6" t="n">
        <x:v>257</x:v>
      </x:c>
      <x:c r="G338" s="7" t="n">
        <x:f>IF(OR(E338="",F338="",F338=0),"",ABS(E338-F338)/ABS(F338))</x:f>
        <x:v>0</x:v>
      </x:c>
      <x:c r="H338" s="5" t="str">
        <x:v>TAALED</x:v>
      </x:c>
    </x:row>
    <x:row r="339">
      <x:c r="A339" s="5" t="str">
        <x:v>P4</x:v>
      </x:c>
      <x:c r="B339" s="5" t="str">
        <x:v>PXL_20230425_181232768_transcription.xlsx</x:v>
      </x:c>
      <x:c r="C339" s="5" t="str">
        <x:v>P4_T3_corrected.txt</x:v>
      </x:c>
      <x:c r="D339" s="5" t="str">
        <x:v>basic_ntypes</x:v>
      </x:c>
      <x:c r="E339" s="6" t="n">
        <x:v>111</x:v>
      </x:c>
      <x:c r="F339" s="6" t="n">
        <x:v>112</x:v>
      </x:c>
      <x:c r="G339" s="7" t="n">
        <x:f>IF(OR(E339="",F339="",F339=0),"",ABS(E339-F339)/ABS(F339))</x:f>
        <x:v>0.008928571428571428</x:v>
      </x:c>
      <x:c r="H339" s="5" t="str">
        <x:v>TAALED</x:v>
      </x:c>
    </x:row>
    <x:row r="340">
      <x:c r="A340" s="5" t="str">
        <x:v>P4</x:v>
      </x:c>
      <x:c r="B340" s="5" t="str">
        <x:v>PXL_20230425_181232768_transcription.xlsx</x:v>
      </x:c>
      <x:c r="C340" s="5" t="str">
        <x:v>P4_T3_corrected.txt</x:v>
      </x:c>
      <x:c r="D340" s="5" t="str">
        <x:v>basic_ncontent_tokens</x:v>
      </x:c>
      <x:c r="E340" s="6" t="n">
        <x:v>97</x:v>
      </x:c>
      <x:c r="F340" s="6" t="n">
        <x:v>103</x:v>
      </x:c>
      <x:c r="G340" s="7" t="n">
        <x:f>IF(OR(E340="",F340="",F340=0),"",ABS(E340-F340)/ABS(F340))</x:f>
        <x:v>0.05825242718446602</x:v>
      </x:c>
      <x:c r="H340" s="5" t="str">
        <x:v>TAALED</x:v>
      </x:c>
    </x:row>
    <x:row r="341">
      <x:c r="A341" s="5" t="str">
        <x:v>P4</x:v>
      </x:c>
      <x:c r="B341" s="5" t="str">
        <x:v>PXL_20230425_181232768_transcription.xlsx</x:v>
      </x:c>
      <x:c r="C341" s="5" t="str">
        <x:v>P4_T3_corrected.txt</x:v>
      </x:c>
      <x:c r="D341" s="5" t="str">
        <x:v>basic_ncontent_types</x:v>
      </x:c>
      <x:c r="E341" s="6" t="n">
        <x:v>60</x:v>
      </x:c>
      <x:c r="F341" s="6" t="n">
        <x:v>61</x:v>
      </x:c>
      <x:c r="G341" s="7" t="n">
        <x:f>IF(OR(E341="",F341="",F341=0),"",ABS(E341-F341)/ABS(F341))</x:f>
        <x:v>0.01639344262295082</x:v>
      </x:c>
      <x:c r="H341" s="5" t="str">
        <x:v>TAALED</x:v>
      </x:c>
    </x:row>
    <x:row r="342">
      <x:c r="A342" s="5" t="str">
        <x:v>P4</x:v>
      </x:c>
      <x:c r="B342" s="5" t="str">
        <x:v>PXL_20230425_181232768_transcription.xlsx</x:v>
      </x:c>
      <x:c r="C342" s="5" t="str">
        <x:v>P4_T3_corrected.txt</x:v>
      </x:c>
      <x:c r="D342" s="5" t="str">
        <x:v>basic_nfunction_tokens</x:v>
      </x:c>
      <x:c r="E342" s="6" t="n">
        <x:v>160</x:v>
      </x:c>
      <x:c r="F342" s="6" t="n">
        <x:v>154</x:v>
      </x:c>
      <x:c r="G342" s="7" t="n">
        <x:f>IF(OR(E342="",F342="",F342=0),"",ABS(E342-F342)/ABS(F342))</x:f>
        <x:v>0.03896103896103896</x:v>
      </x:c>
      <x:c r="H342" s="5" t="str">
        <x:v>TAALED</x:v>
      </x:c>
    </x:row>
    <x:row r="343">
      <x:c r="A343" s="5" t="str">
        <x:v>P4</x:v>
      </x:c>
      <x:c r="B343" s="5" t="str">
        <x:v>PXL_20230425_181232768_transcription.xlsx</x:v>
      </x:c>
      <x:c r="C343" s="5" t="str">
        <x:v>P4_T3_corrected.txt</x:v>
      </x:c>
      <x:c r="D343" s="5" t="str">
        <x:v>basic_nfunction_types</x:v>
      </x:c>
      <x:c r="E343" s="6" t="n">
        <x:v>51</x:v>
      </x:c>
      <x:c r="F343" s="6" t="n">
        <x:v>51</x:v>
      </x:c>
      <x:c r="G343" s="7" t="n">
        <x:f>IF(OR(E343="",F343="",F343=0),"",ABS(E343-F343)/ABS(F343))</x:f>
        <x:v>0</x:v>
      </x:c>
      <x:c r="H343" s="5" t="str">
        <x:v>TAALED</x:v>
      </x:c>
    </x:row>
    <x:row r="344">
      <x:c r="A344" s="5" t="str">
        <x:v>P4</x:v>
      </x:c>
      <x:c r="B344" s="5" t="str">
        <x:v>PXL_20230425_181232768_transcription.xlsx</x:v>
      </x:c>
      <x:c r="C344" s="5" t="str">
        <x:v>P4_T3_corrected.txt</x:v>
      </x:c>
      <x:c r="D344" s="5" t="str">
        <x:v>lexical_density_tokens</x:v>
      </x:c>
      <x:c r="E344" s="6" t="n">
        <x:v>0.377431906614786</x:v>
      </x:c>
      <x:c r="F344" s="6" t="n">
        <x:v>0.40077821011673154</x:v>
      </x:c>
      <x:c r="G344" s="7" t="n">
        <x:f>IF(OR(E344="",F344="",F344=0),"",ABS(E344-F344)/ABS(F344))</x:f>
        <x:v>0.058252427184466084</x:v>
      </x:c>
      <x:c r="H344" s="5" t="str">
        <x:v>TAALED</x:v>
      </x:c>
    </x:row>
    <x:row r="345">
      <x:c r="A345" s="5" t="str">
        <x:v>P4</x:v>
      </x:c>
      <x:c r="B345" s="5" t="str">
        <x:v>PXL_20230425_181232768_transcription.xlsx</x:v>
      </x:c>
      <x:c r="C345" s="5" t="str">
        <x:v>P4_T3_corrected.txt</x:v>
      </x:c>
      <x:c r="D345" s="5" t="str">
        <x:v>lexical_density_types</x:v>
      </x:c>
      <x:c r="E345" s="6" t="n">
        <x:v>0.5405405405405406</x:v>
      </x:c>
      <x:c r="F345" s="6" t="n">
        <x:v>0.5446428571428571</x:v>
      </x:c>
      <x:c r="G345" s="7" t="n">
        <x:f>IF(OR(E345="",F345="",F345=0),"",ABS(E345-F345)/ABS(F345))</x:f>
        <x:v>0.007532122286220505</x:v>
      </x:c>
      <x:c r="H345" s="5" t="str">
        <x:v>TAALED</x:v>
      </x:c>
    </x:row>
    <x:row r="346">
      <x:c r="A346" s="5" t="str">
        <x:v>P4</x:v>
      </x:c>
      <x:c r="B346" s="5" t="str">
        <x:v>PXL_20230425_181232768_transcription.xlsx</x:v>
      </x:c>
      <x:c r="C346" s="5" t="str">
        <x:v>P4_T3_corrected.txt</x:v>
      </x:c>
      <x:c r="D346" s="5" t="str">
        <x:v>simple_ttr_aw</x:v>
      </x:c>
      <x:c r="E346" s="6" t="n">
        <x:v>0.43190661478599224</x:v>
      </x:c>
      <x:c r="F346" s="6" t="n">
        <x:v>0.4357976653696498</x:v>
      </x:c>
      <x:c r="G346" s="7" t="n">
        <x:f>IF(OR(E346="",F346="",F346=0),"",ABS(E346-F346)/ABS(F346))</x:f>
        <x:v>0.008928571428571397</x:v>
      </x:c>
      <x:c r="H346" s="5" t="str">
        <x:v>TAALED</x:v>
      </x:c>
    </x:row>
    <x:row r="347">
      <x:c r="A347" s="5" t="str">
        <x:v>P4</x:v>
      </x:c>
      <x:c r="B347" s="5" t="str">
        <x:v>PXL_20230425_181232768_transcription.xlsx</x:v>
      </x:c>
      <x:c r="C347" s="5" t="str">
        <x:v>P4_T3_corrected.txt</x:v>
      </x:c>
      <x:c r="D347" s="5" t="str">
        <x:v>root_ttr_aw</x:v>
      </x:c>
      <x:c r="E347" s="6" t="n">
        <x:v>6.9239897632250385</x:v>
      </x:c>
      <x:c r="F347" s="6" t="n">
        <x:v>6.98636804938022</x:v>
      </x:c>
      <x:c r="G347" s="7" t="n">
        <x:f>IF(OR(E347="",F347="",F347=0),"",ABS(E347-F347)/ABS(F347))</x:f>
        <x:v>0.008928571428571517</x:v>
      </x:c>
      <x:c r="H347" s="5" t="str">
        <x:v>TAALED</x:v>
      </x:c>
    </x:row>
    <x:row r="348">
      <x:c r="A348" s="5" t="str">
        <x:v>P4</x:v>
      </x:c>
      <x:c r="B348" s="5" t="str">
        <x:v>PXL_20230425_181232768_transcription.xlsx</x:v>
      </x:c>
      <x:c r="C348" s="5" t="str">
        <x:v>P4_T3_corrected.txt</x:v>
      </x:c>
      <x:c r="D348" s="5" t="str">
        <x:v>log_ttr_aw</x:v>
      </x:c>
      <x:c r="E348" s="6" t="n">
        <x:v>0.8487052852152885</x:v>
      </x:c>
      <x:c r="F348" s="6" t="n">
        <x:v>0.8503215308470925</x:v>
      </x:c>
      <x:c r="G348" s="7" t="n">
        <x:f>IF(OR(E348="",F348="",F348=0),"",ABS(E348-F348)/ABS(F348))</x:f>
        <x:v>0.0019007464508088495</x:v>
      </x:c>
      <x:c r="H348" s="5" t="str">
        <x:v>TAALED</x:v>
      </x:c>
    </x:row>
    <x:row r="349">
      <x:c r="A349" s="5" t="str">
        <x:v>P4</x:v>
      </x:c>
      <x:c r="B349" s="5" t="str">
        <x:v>PXL_20230425_181232768_transcription.xlsx</x:v>
      </x:c>
      <x:c r="C349" s="5" t="str">
        <x:v>P4_T3_corrected.txt</x:v>
      </x:c>
      <x:c r="D349" s="5" t="str">
        <x:v>maas_ttr_aw</x:v>
      </x:c>
      <x:c r="E349" s="6" t="n">
        <x:v>0.06277963206529731</x:v>
      </x:c>
      <x:c r="F349" s="6" t="n">
        <x:v>0.06210897211371749</x:v>
      </x:c>
      <x:c r="G349" s="7" t="n">
        <x:f>IF(OR(E349="",F349="",F349=0),"",ABS(E349-F349)/ABS(F349))</x:f>
        <x:v>0.010798117063536073</x:v>
      </x:c>
      <x:c r="H349" s="5" t="str">
        <x:v>TAALED</x:v>
      </x:c>
    </x:row>
    <x:row r="350">
      <x:c r="A350" s="5" t="str">
        <x:v>P4</x:v>
      </x:c>
      <x:c r="B350" s="5" t="str">
        <x:v>PXL_20230425_181232768_transcription.xlsx</x:v>
      </x:c>
      <x:c r="C350" s="5" t="str">
        <x:v>P4_T3_corrected.txt</x:v>
      </x:c>
      <x:c r="D350" s="5" t="str">
        <x:v>mattr50_aw</x:v>
      </x:c>
      <x:c r="E350" s="6" t="n">
        <x:v>0.6449038461538461</x:v>
      </x:c>
      <x:c r="F350" s="6" t="n">
        <x:v>0.6472115384615384</x:v>
      </x:c>
      <x:c r="G350" s="7" t="n">
        <x:f>IF(OR(E350="",F350="",F350=0),"",ABS(E350-F350)/ABS(F350))</x:f>
        <x:v>0.003565592036844507</x:v>
      </x:c>
      <x:c r="H350" s="5" t="str">
        <x:v>TAALED</x:v>
      </x:c>
    </x:row>
    <x:row r="351">
      <x:c r="A351" s="5" t="str">
        <x:v>P4</x:v>
      </x:c>
      <x:c r="B351" s="5" t="str">
        <x:v>PXL_20230425_181232768_transcription.xlsx</x:v>
      </x:c>
      <x:c r="C351" s="5" t="str">
        <x:v>P4_T3_corrected.txt</x:v>
      </x:c>
      <x:c r="D351" s="5" t="str">
        <x:v>msttr50_aw</x:v>
      </x:c>
      <x:c r="E351" s="6" t="n">
        <x:v>0.636</x:v>
      </x:c>
      <x:c r="F351" s="6" t="n">
        <x:v>0.66</x:v>
      </x:c>
      <x:c r="G351" s="7" t="n">
        <x:f>IF(OR(E351="",F351="",F351=0),"",ABS(E351-F351)/ABS(F351))</x:f>
        <x:v>0.0363636363636364</x:v>
      </x:c>
      <x:c r="H351" s="5" t="str">
        <x:v>TAALED</x:v>
      </x:c>
    </x:row>
    <x:row r="352">
      <x:c r="A352" s="5" t="str">
        <x:v>P4</x:v>
      </x:c>
      <x:c r="B352" s="5" t="str">
        <x:v>PXL_20230425_181232768_transcription.xlsx</x:v>
      </x:c>
      <x:c r="C352" s="5" t="str">
        <x:v>P4_T3_corrected.txt</x:v>
      </x:c>
      <x:c r="D352" s="5" t="str">
        <x:v>hdd42_aw</x:v>
      </x:c>
      <x:c r="E352" s="6" t="n">
        <x:v>0.7624019585622459</x:v>
      </x:c>
      <x:c r="F352" s="6" t="n">
        <x:v>0.7692889006379525</x:v>
      </x:c>
      <x:c r="G352" s="7" t="n">
        <x:f>IF(OR(E352="",F352="",F352=0),"",ABS(E352-F352)/ABS(F352))</x:f>
        <x:v>0.008952348162043468</x:v>
      </x:c>
      <x:c r="H352" s="5" t="str">
        <x:v>TAALED</x:v>
      </x:c>
    </x:row>
    <x:row r="353">
      <x:c r="A353" s="5" t="str">
        <x:v>P4</x:v>
      </x:c>
      <x:c r="B353" s="5" t="str">
        <x:v>PXL_20230425_181232768_transcription.xlsx</x:v>
      </x:c>
      <x:c r="C353" s="5" t="str">
        <x:v>P4_T3_corrected.txt</x:v>
      </x:c>
      <x:c r="D353" s="5" t="str">
        <x:v>mtld_original_aw</x:v>
      </x:c>
      <x:c r="E353" s="6" t="n">
        <x:v>26.02946117149073</x:v>
      </x:c>
      <x:c r="F353" s="6" t="n">
        <x:v>27.364228136094397</x:v>
      </x:c>
      <x:c r="G353" s="7" t="n">
        <x:f>IF(OR(E353="",F353="",F353=0),"",ABS(E353-F353)/ABS(F353))</x:f>
        <x:v>0.048777804291255014</x:v>
      </x:c>
      <x:c r="H353" s="5" t="str">
        <x:v>TAALED</x:v>
      </x:c>
    </x:row>
    <x:row r="354">
      <x:c r="A354" s="5" t="str">
        <x:v>P4</x:v>
      </x:c>
      <x:c r="B354" s="5" t="str">
        <x:v>PXL_20230425_181232768_transcription.xlsx</x:v>
      </x:c>
      <x:c r="C354" s="5" t="str">
        <x:v>P4_T3_corrected.txt</x:v>
      </x:c>
      <x:c r="D354" s="5" t="str">
        <x:v>mtld_mean_factor_length_aw</x:v>
      </x:c>
      <x:c r="E354" s="6" t="n">
        <x:v>26.2424</x:v>
      </x:c>
      <x:c r="F354" s="6" t="n">
        <x:v>27.38011695906433</x:v>
      </x:c>
      <x:c r="G354" s="7" t="n">
        <x:f>IF(OR(E354="",F354="",F354=0),"",ABS(E354-F354)/ABS(F354))</x:f>
        <x:v>0.04155266979923123</x:v>
      </x:c>
      <x:c r="H354" s="5" t="str">
        <x:v>TAALED</x:v>
      </x:c>
    </x:row>
    <x:row r="355">
      <x:c r="A355" s="5" t="str">
        <x:v>P4</x:v>
      </x:c>
      <x:c r="B355" s="5" t="str">
        <x:v>PXL_20230425_181232768_transcription.xlsx</x:v>
      </x:c>
      <x:c r="C355" s="5" t="str">
        <x:v>P4_T3_corrected.txt</x:v>
      </x:c>
      <x:c r="D355" s="5" t="str">
        <x:v>total_utterances</x:v>
      </x:c>
      <x:c r="E355" s="6" t="n">
        <x:v>34</x:v>
      </x:c>
      <x:c r="F355" s="6" t="n">
        <x:v>32</x:v>
      </x:c>
      <x:c r="G355" s="7" t="n">
        <x:f>IF(OR(E355="",F355="",F355=0),"",ABS(E355-F355)/ABS(F355))</x:f>
        <x:v>0.0625</x:v>
      </x:c>
      <x:c r="H355" s="5" t="str">
        <x:v>CLAN</x:v>
      </x:c>
    </x:row>
    <x:row r="356">
      <x:c r="A356" s="5" t="str">
        <x:v>P4</x:v>
      </x:c>
      <x:c r="B356" s="5" t="str">
        <x:v>PXL_20230425_181232768_transcription.xlsx</x:v>
      </x:c>
      <x:c r="C356" s="5" t="str">
        <x:v>P4_T3_corrected.txt</x:v>
      </x:c>
      <x:c r="D356" s="5" t="str">
        <x:v>total_words</x:v>
      </x:c>
      <x:c r="E356" s="6" t="n">
        <x:v>263</x:v>
      </x:c>
      <x:c r="F356" s="6" t="n">
        <x:v>259</x:v>
      </x:c>
      <x:c r="G356" s="7" t="n">
        <x:f>IF(OR(E356="",F356="",F356=0),"",ABS(E356-F356)/ABS(F356))</x:f>
        <x:v>0.015444015444015444</x:v>
      </x:c>
      <x:c r="H356" s="5" t="str">
        <x:v>CLAN</x:v>
      </x:c>
    </x:row>
    <x:row r="357">
      <x:c r="A357" s="5" t="str">
        <x:v>P4</x:v>
      </x:c>
      <x:c r="B357" s="5" t="str">
        <x:v>PXL_20230425_181232768_transcription.xlsx</x:v>
      </x:c>
      <x:c r="C357" s="5" t="str">
        <x:v>P4_T3_corrected.txt</x:v>
      </x:c>
      <x:c r="D357" s="5" t="str">
        <x:v>mlu_words</x:v>
      </x:c>
      <x:c r="E357" s="6" t="n">
        <x:v>7.735294117647059</x:v>
      </x:c>
      <x:c r="F357" s="6" t="n">
        <x:v>8.094</x:v>
      </x:c>
      <x:c r="G357" s="7" t="n">
        <x:f>IF(OR(E357="",F357="",F357=0),"",ABS(E357-F357)/ABS(F357))</x:f>
        <x:v>0.04431750461489258</x:v>
      </x:c>
      <x:c r="H357" s="5" t="str">
        <x:v>CLAN</x:v>
      </x:c>
    </x:row>
    <x:row r="358">
      <x:c r="A358" s="5" t="str">
        <x:v>P4</x:v>
      </x:c>
      <x:c r="B358" s="5" t="str">
        <x:v>PXL_20230425_181232768_transcription.xlsx</x:v>
      </x:c>
      <x:c r="C358" s="5" t="str">
        <x:v>P4_T3_corrected.txt</x:v>
      </x:c>
      <x:c r="D358" s="5" t="str">
        <x:v>mlu_words_sd</x:v>
      </x:c>
      <x:c r="E358" s="6" t="n">
        <x:v>9.03362614812474</x:v>
      </x:c>
      <x:c r="F358" s="6" t="n">
        <x:v>8.549</x:v>
      </x:c>
      <x:c r="G358" s="7" t="n">
        <x:f>IF(OR(E358="",F358="",F358=0),"",ABS(E358-F358)/ABS(F358))</x:f>
        <x:v>0.056688051014708314</x:v>
      </x:c>
      <x:c r="H358" s="5" t="str">
        <x:v>CLAN</x:v>
      </x:c>
    </x:row>
    <x:row r="359">
      <x:c r="A359" s="5" t="str">
        <x:v>P4</x:v>
      </x:c>
      <x:c r="B359" s="5" t="str">
        <x:v>PXL_20230425_181720862_transcription.xlsx</x:v>
      </x:c>
      <x:c r="C359" s="5" t="str">
        <x:v>P4_T4_corrected.txt</x:v>
      </x:c>
      <x:c r="D359" s="5" t="str">
        <x:v>basic_ntokens</x:v>
      </x:c>
      <x:c r="E359" s="6" t="n">
        <x:v>666</x:v>
      </x:c>
      <x:c r="F359" s="6" t="n">
        <x:v>682</x:v>
      </x:c>
      <x:c r="G359" s="7" t="n">
        <x:f>IF(OR(E359="",F359="",F359=0),"",ABS(E359-F359)/ABS(F359))</x:f>
        <x:v>0.02346041055718475</x:v>
      </x:c>
      <x:c r="H359" s="5" t="str">
        <x:v>TAALED</x:v>
      </x:c>
    </x:row>
    <x:row r="360">
      <x:c r="A360" s="5" t="str">
        <x:v>P4</x:v>
      </x:c>
      <x:c r="B360" s="5" t="str">
        <x:v>PXL_20230425_181720862_transcription.xlsx</x:v>
      </x:c>
      <x:c r="C360" s="5" t="str">
        <x:v>P4_T4_corrected.txt</x:v>
      </x:c>
      <x:c r="D360" s="5" t="str">
        <x:v>basic_ntypes</x:v>
      </x:c>
      <x:c r="E360" s="6" t="n">
        <x:v>189</x:v>
      </x:c>
      <x:c r="F360" s="6" t="n">
        <x:v>196</x:v>
      </x:c>
      <x:c r="G360" s="7" t="n">
        <x:f>IF(OR(E360="",F360="",F360=0),"",ABS(E360-F360)/ABS(F360))</x:f>
        <x:v>0.03571428571428571</x:v>
      </x:c>
      <x:c r="H360" s="5" t="str">
        <x:v>TAALED</x:v>
      </x:c>
    </x:row>
    <x:row r="361">
      <x:c r="A361" s="5" t="str">
        <x:v>P4</x:v>
      </x:c>
      <x:c r="B361" s="5" t="str">
        <x:v>PXL_20230425_181720862_transcription.xlsx</x:v>
      </x:c>
      <x:c r="C361" s="5" t="str">
        <x:v>P4_T4_corrected.txt</x:v>
      </x:c>
      <x:c r="D361" s="5" t="str">
        <x:v>basic_ncontent_tokens</x:v>
      </x:c>
      <x:c r="E361" s="6" t="n">
        <x:v>244</x:v>
      </x:c>
      <x:c r="F361" s="6" t="n">
        <x:v>257</x:v>
      </x:c>
      <x:c r="G361" s="7" t="n">
        <x:f>IF(OR(E361="",F361="",F361=0),"",ABS(E361-F361)/ABS(F361))</x:f>
        <x:v>0.05058365758754864</x:v>
      </x:c>
      <x:c r="H361" s="5" t="str">
        <x:v>TAALED</x:v>
      </x:c>
    </x:row>
    <x:row r="362">
      <x:c r="A362" s="5" t="str">
        <x:v>P4</x:v>
      </x:c>
      <x:c r="B362" s="5" t="str">
        <x:v>PXL_20230425_181720862_transcription.xlsx</x:v>
      </x:c>
      <x:c r="C362" s="5" t="str">
        <x:v>P4_T4_corrected.txt</x:v>
      </x:c>
      <x:c r="D362" s="5" t="str">
        <x:v>basic_ncontent_types</x:v>
      </x:c>
      <x:c r="E362" s="6" t="n">
        <x:v>120</x:v>
      </x:c>
      <x:c r="F362" s="6" t="n">
        <x:v>126</x:v>
      </x:c>
      <x:c r="G362" s="7" t="n">
        <x:f>IF(OR(E362="",F362="",F362=0),"",ABS(E362-F362)/ABS(F362))</x:f>
        <x:v>0.047619047619047616</x:v>
      </x:c>
      <x:c r="H362" s="5" t="str">
        <x:v>TAALED</x:v>
      </x:c>
    </x:row>
    <x:row r="363">
      <x:c r="A363" s="5" t="str">
        <x:v>P4</x:v>
      </x:c>
      <x:c r="B363" s="5" t="str">
        <x:v>PXL_20230425_181720862_transcription.xlsx</x:v>
      </x:c>
      <x:c r="C363" s="5" t="str">
        <x:v>P4_T4_corrected.txt</x:v>
      </x:c>
      <x:c r="D363" s="5" t="str">
        <x:v>basic_nfunction_tokens</x:v>
      </x:c>
      <x:c r="E363" s="6" t="n">
        <x:v>422</x:v>
      </x:c>
      <x:c r="F363" s="6" t="n">
        <x:v>425</x:v>
      </x:c>
      <x:c r="G363" s="7" t="n">
        <x:f>IF(OR(E363="",F363="",F363=0),"",ABS(E363-F363)/ABS(F363))</x:f>
        <x:v>0.007058823529411765</x:v>
      </x:c>
      <x:c r="H363" s="5" t="str">
        <x:v>TAALED</x:v>
      </x:c>
    </x:row>
    <x:row r="364">
      <x:c r="A364" s="5" t="str">
        <x:v>P4</x:v>
      </x:c>
      <x:c r="B364" s="5" t="str">
        <x:v>PXL_20230425_181720862_transcription.xlsx</x:v>
      </x:c>
      <x:c r="C364" s="5" t="str">
        <x:v>P4_T4_corrected.txt</x:v>
      </x:c>
      <x:c r="D364" s="5" t="str">
        <x:v>basic_nfunction_types</x:v>
      </x:c>
      <x:c r="E364" s="6" t="n">
        <x:v>69</x:v>
      </x:c>
      <x:c r="F364" s="6" t="n">
        <x:v>70</x:v>
      </x:c>
      <x:c r="G364" s="7" t="n">
        <x:f>IF(OR(E364="",F364="",F364=0),"",ABS(E364-F364)/ABS(F364))</x:f>
        <x:v>0.014285714285714285</x:v>
      </x:c>
      <x:c r="H364" s="5" t="str">
        <x:v>TAALED</x:v>
      </x:c>
    </x:row>
    <x:row r="365">
      <x:c r="A365" s="5" t="str">
        <x:v>P4</x:v>
      </x:c>
      <x:c r="B365" s="5" t="str">
        <x:v>PXL_20230425_181720862_transcription.xlsx</x:v>
      </x:c>
      <x:c r="C365" s="5" t="str">
        <x:v>P4_T4_corrected.txt</x:v>
      </x:c>
      <x:c r="D365" s="5" t="str">
        <x:v>lexical_density_tokens</x:v>
      </x:c>
      <x:c r="E365" s="6" t="n">
        <x:v>0.3663663663663664</x:v>
      </x:c>
      <x:c r="F365" s="6" t="n">
        <x:v>0.37683284457478006</x:v>
      </x:c>
      <x:c r="G365" s="7" t="n">
        <x:f>IF(OR(E365="",F365="",F365=0),"",ABS(E365-F365)/ABS(F365))</x:f>
        <x:v>0.027774856568630844</x:v>
      </x:c>
      <x:c r="H365" s="5" t="str">
        <x:v>TAALED</x:v>
      </x:c>
    </x:row>
    <x:row r="366">
      <x:c r="A366" s="5" t="str">
        <x:v>P4</x:v>
      </x:c>
      <x:c r="B366" s="5" t="str">
        <x:v>PXL_20230425_181720862_transcription.xlsx</x:v>
      </x:c>
      <x:c r="C366" s="5" t="str">
        <x:v>P4_T4_corrected.txt</x:v>
      </x:c>
      <x:c r="D366" s="5" t="str">
        <x:v>lexical_density_types</x:v>
      </x:c>
      <x:c r="E366" s="6" t="n">
        <x:v>0.6349206349206349</x:v>
      </x:c>
      <x:c r="F366" s="6" t="n">
        <x:v>0.6428571428571429</x:v>
      </x:c>
      <x:c r="G366" s="7" t="n">
        <x:f>IF(OR(E366="",F366="",F366=0),"",ABS(E366-F366)/ABS(F366))</x:f>
        <x:v>0.012345679012345807</x:v>
      </x:c>
      <x:c r="H366" s="5" t="str">
        <x:v>TAALED</x:v>
      </x:c>
    </x:row>
    <x:row r="367">
      <x:c r="A367" s="5" t="str">
        <x:v>P4</x:v>
      </x:c>
      <x:c r="B367" s="5" t="str">
        <x:v>PXL_20230425_181720862_transcription.xlsx</x:v>
      </x:c>
      <x:c r="C367" s="5" t="str">
        <x:v>P4_T4_corrected.txt</x:v>
      </x:c>
      <x:c r="D367" s="5" t="str">
        <x:v>simple_ttr_aw</x:v>
      </x:c>
      <x:c r="E367" s="6" t="n">
        <x:v>0.28378378378378377</x:v>
      </x:c>
      <x:c r="F367" s="6" t="n">
        <x:v>0.2873900293255132</x:v>
      </x:c>
      <x:c r="G367" s="7" t="n">
        <x:f>IF(OR(E367="",F367="",F367=0),"",ABS(E367-F367)/ABS(F367))</x:f>
        <x:v>0.012548262548262667</x:v>
      </x:c>
      <x:c r="H367" s="5" t="str">
        <x:v>TAALED</x:v>
      </x:c>
    </x:row>
    <x:row r="368">
      <x:c r="A368" s="5" t="str">
        <x:v>P4</x:v>
      </x:c>
      <x:c r="B368" s="5" t="str">
        <x:v>PXL_20230425_181720862_transcription.xlsx</x:v>
      </x:c>
      <x:c r="C368" s="5" t="str">
        <x:v>P4_T4_corrected.txt</x:v>
      </x:c>
      <x:c r="D368" s="5" t="str">
        <x:v>root_ttr_aw</x:v>
      </x:c>
      <x:c r="E368" s="6" t="n">
        <x:v>7.323601240860615</x:v>
      </x:c>
      <x:c r="F368" s="6" t="n">
        <x:v>7.505227894461338</x:v>
      </x:c>
      <x:c r="G368" s="7" t="n">
        <x:f>IF(OR(E368="",F368="",F368=0),"",ABS(E368-F368)/ABS(F368))</x:f>
        <x:v>0.02420001846109951</x:v>
      </x:c>
      <x:c r="H368" s="5" t="str">
        <x:v>TAALED</x:v>
      </x:c>
    </x:row>
    <x:row r="369">
      <x:c r="A369" s="5" t="str">
        <x:v>P4</x:v>
      </x:c>
      <x:c r="B369" s="5" t="str">
        <x:v>PXL_20230425_181720862_transcription.xlsx</x:v>
      </x:c>
      <x:c r="C369" s="5" t="str">
        <x:v>P4_T4_corrected.txt</x:v>
      </x:c>
      <x:c r="D369" s="5" t="str">
        <x:v>log_ttr_aw</x:v>
      </x:c>
      <x:c r="E369" s="6" t="n">
        <x:v>0.8062626464425707</x:v>
      </x:c>
      <x:c r="F369" s="6" t="n">
        <x:v>0.8089027845085607</x:v>
      </x:c>
      <x:c r="G369" s="7" t="n">
        <x:f>IF(OR(E369="",F369="",F369=0),"",ABS(E369-F369)/ABS(F369))</x:f>
        <x:v>0.003263850881158648</x:v>
      </x:c>
      <x:c r="H369" s="5" t="str">
        <x:v>TAALED</x:v>
      </x:c>
    </x:row>
    <x:row r="370">
      <x:c r="A370" s="5" t="str">
        <x:v>P4</x:v>
      </x:c>
      <x:c r="B370" s="5" t="str">
        <x:v>PXL_20230425_181720862_transcription.xlsx</x:v>
      </x:c>
      <x:c r="C370" s="5" t="str">
        <x:v>P4_T4_corrected.txt</x:v>
      </x:c>
      <x:c r="D370" s="5" t="str">
        <x:v>maas_ttr_aw</x:v>
      </x:c>
      <x:c r="E370" s="6" t="n">
        <x:v>0.06861665375085094</x:v>
      </x:c>
      <x:c r="F370" s="6" t="n">
        <x:v>0.06743534095271622</x:v>
      </x:c>
      <x:c r="G370" s="7" t="n">
        <x:f>IF(OR(E370="",F370="",F370=0),"",ABS(E370-F370)/ABS(F370))</x:f>
        <x:v>0.017517710764790504</x:v>
      </x:c>
      <x:c r="H370" s="5" t="str">
        <x:v>TAALED</x:v>
      </x:c>
    </x:row>
    <x:row r="371">
      <x:c r="A371" s="5" t="str">
        <x:v>P4</x:v>
      </x:c>
      <x:c r="B371" s="5" t="str">
        <x:v>PXL_20230425_181720862_transcription.xlsx</x:v>
      </x:c>
      <x:c r="C371" s="5" t="str">
        <x:v>P4_T4_corrected.txt</x:v>
      </x:c>
      <x:c r="D371" s="5" t="str">
        <x:v>mattr50_aw</x:v>
      </x:c>
      <x:c r="E371" s="6" t="n">
        <x:v>0.6658346839546191</x:v>
      </x:c>
      <x:c r="F371" s="6" t="n">
        <x:v>0.6681516587677725</x:v>
      </x:c>
      <x:c r="G371" s="7" t="n">
        <x:f>IF(OR(E371="",F371="",F371=0),"",ABS(E371-F371)/ABS(F371))</x:f>
        <x:v>0.0034677378747011525</x:v>
      </x:c>
      <x:c r="H371" s="5" t="str">
        <x:v>TAALED</x:v>
      </x:c>
    </x:row>
    <x:row r="372">
      <x:c r="A372" s="5" t="str">
        <x:v>P4</x:v>
      </x:c>
      <x:c r="B372" s="5" t="str">
        <x:v>PXL_20230425_181720862_transcription.xlsx</x:v>
      </x:c>
      <x:c r="C372" s="5" t="str">
        <x:v>P4_T4_corrected.txt</x:v>
      </x:c>
      <x:c r="D372" s="5" t="str">
        <x:v>msttr50_aw</x:v>
      </x:c>
      <x:c r="E372" s="6" t="n">
        <x:v>0.6523076923076923</x:v>
      </x:c>
      <x:c r="F372" s="6" t="n">
        <x:v>0.6784615384615383</x:v>
      </x:c>
      <x:c r="G372" s="7" t="n">
        <x:f>IF(OR(E372="",F372="",F372=0),"",ABS(E372-F372)/ABS(F372))</x:f>
        <x:v>0.03854875283446702</x:v>
      </x:c>
      <x:c r="H372" s="5" t="str">
        <x:v>TAALED</x:v>
      </x:c>
    </x:row>
    <x:row r="373">
      <x:c r="A373" s="5" t="str">
        <x:v>P4</x:v>
      </x:c>
      <x:c r="B373" s="5" t="str">
        <x:v>PXL_20230425_181720862_transcription.xlsx</x:v>
      </x:c>
      <x:c r="C373" s="5" t="str">
        <x:v>P4_T4_corrected.txt</x:v>
      </x:c>
      <x:c r="D373" s="5" t="str">
        <x:v>hdd42_aw</x:v>
      </x:c>
      <x:c r="E373" s="6" t="n">
        <x:v>0.7473010713288274</x:v>
      </x:c>
      <x:c r="F373" s="6" t="n">
        <x:v>0.7501718982115688</x:v>
      </x:c>
      <x:c r="G373" s="7" t="n">
        <x:f>IF(OR(E373="",F373="",F373=0),"",ABS(E373-F373)/ABS(F373))</x:f>
        <x:v>0.0038268920624533677</x:v>
      </x:c>
      <x:c r="H373" s="5" t="str">
        <x:v>TAALED</x:v>
      </x:c>
    </x:row>
    <x:row r="374">
      <x:c r="A374" s="5" t="str">
        <x:v>P4</x:v>
      </x:c>
      <x:c r="B374" s="5" t="str">
        <x:v>PXL_20230425_181720862_transcription.xlsx</x:v>
      </x:c>
      <x:c r="C374" s="5" t="str">
        <x:v>P4_T4_corrected.txt</x:v>
      </x:c>
      <x:c r="D374" s="5" t="str">
        <x:v>mtld_original_aw</x:v>
      </x:c>
      <x:c r="E374" s="6" t="n">
        <x:v>32.277491905842766</x:v>
      </x:c>
      <x:c r="F374" s="6" t="n">
        <x:v>32.88369058713886</x:v>
      </x:c>
      <x:c r="G374" s="7" t="n">
        <x:f>IF(OR(E374="",F374="",F374=0),"",ABS(E374-F374)/ABS(F374))</x:f>
        <x:v>0.01843463037367171</x:v>
      </x:c>
      <x:c r="H374" s="5" t="str">
        <x:v>TAALED</x:v>
      </x:c>
    </x:row>
    <x:row r="375">
      <x:c r="A375" s="5" t="str">
        <x:v>P4</x:v>
      </x:c>
      <x:c r="B375" s="5" t="str">
        <x:v>PXL_20230425_181720862_transcription.xlsx</x:v>
      </x:c>
      <x:c r="C375" s="5" t="str">
        <x:v>P4_T4_corrected.txt</x:v>
      </x:c>
      <x:c r="D375" s="5" t="str">
        <x:v>mtld_mean_factor_length_aw</x:v>
      </x:c>
      <x:c r="E375" s="6" t="n">
        <x:v>32.48888888888889</x:v>
      </x:c>
      <x:c r="F375" s="6" t="n">
        <x:v>32.87111111111111</x:v>
      </x:c>
      <x:c r="G375" s="7" t="n">
        <x:f>IF(OR(E375="",F375="",F375=0),"",ABS(E375-F375)/ABS(F375))</x:f>
        <x:v>0.011627906976744274</x:v>
      </x:c>
      <x:c r="H375" s="5" t="str">
        <x:v>TAALED</x:v>
      </x:c>
    </x:row>
    <x:row r="376">
      <x:c r="A376" s="5" t="str">
        <x:v>P4</x:v>
      </x:c>
      <x:c r="B376" s="5" t="str">
        <x:v>PXL_20230425_181720862_transcription.xlsx</x:v>
      </x:c>
      <x:c r="C376" s="5" t="str">
        <x:v>P4_T4_corrected.txt</x:v>
      </x:c>
      <x:c r="D376" s="5" t="str">
        <x:v>total_utterances</x:v>
      </x:c>
      <x:c r="E376" s="6" t="n">
        <x:v>62</x:v>
      </x:c>
      <x:c r="F376" s="6" t="n">
        <x:v>63</x:v>
      </x:c>
      <x:c r="G376" s="7" t="n">
        <x:f>IF(OR(E376="",F376="",F376=0),"",ABS(E376-F376)/ABS(F376))</x:f>
        <x:v>0.015873015873015872</x:v>
      </x:c>
      <x:c r="H376" s="5" t="str">
        <x:v>CLAN</x:v>
      </x:c>
    </x:row>
    <x:row r="377">
      <x:c r="A377" s="5" t="str">
        <x:v>P4</x:v>
      </x:c>
      <x:c r="B377" s="5" t="str">
        <x:v>PXL_20230425_181720862_transcription.xlsx</x:v>
      </x:c>
      <x:c r="C377" s="5" t="str">
        <x:v>P4_T4_corrected.txt</x:v>
      </x:c>
      <x:c r="D377" s="5" t="str">
        <x:v>total_words</x:v>
      </x:c>
      <x:c r="E377" s="6" t="n">
        <x:v>639</x:v>
      </x:c>
      <x:c r="F377" s="6" t="n">
        <x:v>647</x:v>
      </x:c>
      <x:c r="G377" s="7" t="n">
        <x:f>IF(OR(E377="",F377="",F377=0),"",ABS(E377-F377)/ABS(F377))</x:f>
        <x:v>0.012364760432766615</x:v>
      </x:c>
      <x:c r="H377" s="5" t="str">
        <x:v>CLAN</x:v>
      </x:c>
    </x:row>
    <x:row r="378">
      <x:c r="A378" s="5" t="str">
        <x:v>P4</x:v>
      </x:c>
      <x:c r="B378" s="5" t="str">
        <x:v>PXL_20230425_181720862_transcription.xlsx</x:v>
      </x:c>
      <x:c r="C378" s="5" t="str">
        <x:v>P4_T4_corrected.txt</x:v>
      </x:c>
      <x:c r="D378" s="5" t="str">
        <x:v>mlu_words</x:v>
      </x:c>
      <x:c r="E378" s="6" t="n">
        <x:v>10.306451612903226</x:v>
      </x:c>
      <x:c r="F378" s="6" t="n">
        <x:v>10.27</x:v>
      </x:c>
      <x:c r="G378" s="7" t="n">
        <x:f>IF(OR(E378="",F378="",F378=0),"",ABS(E378-F378)/ABS(F378))</x:f>
        <x:v>0.003549329396614061</x:v>
      </x:c>
      <x:c r="H378" s="5" t="str">
        <x:v>CLAN</x:v>
      </x:c>
    </x:row>
    <x:row r="379">
      <x:c r="A379" s="5" t="str">
        <x:v>P4</x:v>
      </x:c>
      <x:c r="B379" s="5" t="str">
        <x:v>PXL_20230425_181720862_transcription.xlsx</x:v>
      </x:c>
      <x:c r="C379" s="5" t="str">
        <x:v>P4_T4_corrected.txt</x:v>
      </x:c>
      <x:c r="D379" s="5" t="str">
        <x:v>mlu_words_sd</x:v>
      </x:c>
      <x:c r="E379" s="6" t="n">
        <x:v>10.140288075181035</x:v>
      </x:c>
      <x:c r="F379" s="6" t="n">
        <x:v>9.976</x:v>
      </x:c>
      <x:c r="G379" s="7" t="n">
        <x:f>IF(OR(E379="",F379="",F379=0),"",ABS(E379-F379)/ABS(F379))</x:f>
        <x:v>0.016468331513736348</x:v>
      </x:c>
      <x:c r="H379" s="5" t="str">
        <x:v>CLAN</x:v>
      </x:c>
    </x:row>
    <x:row r="380">
      <x:c r="A380" s="5" t="str">
        <x:v>P5</x:v>
      </x:c>
      <x:c r="B380" s="5" t="str">
        <x:v>PXL_20230427_185012191_transcription.xlsx</x:v>
      </x:c>
      <x:c r="C380" s="5" t="str">
        <x:v>P5_T1_corrected.txt</x:v>
      </x:c>
      <x:c r="D380" s="5" t="str">
        <x:v>basic_ntokens</x:v>
      </x:c>
      <x:c r="E380" s="6" t="n">
        <x:v>166</x:v>
      </x:c>
      <x:c r="F380" s="6" t="n">
        <x:v>162</x:v>
      </x:c>
      <x:c r="G380" s="7" t="n">
        <x:f>IF(OR(E380="",F380="",F380=0),"",ABS(E380-F380)/ABS(F380))</x:f>
        <x:v>0.024691358024691357</x:v>
      </x:c>
      <x:c r="H380" s="5" t="str">
        <x:v>TAALED</x:v>
      </x:c>
    </x:row>
    <x:row r="381">
      <x:c r="A381" s="5" t="str">
        <x:v>P5</x:v>
      </x:c>
      <x:c r="B381" s="5" t="str">
        <x:v>PXL_20230427_185012191_transcription.xlsx</x:v>
      </x:c>
      <x:c r="C381" s="5" t="str">
        <x:v>P5_T1_corrected.txt</x:v>
      </x:c>
      <x:c r="D381" s="5" t="str">
        <x:v>basic_ntypes</x:v>
      </x:c>
      <x:c r="E381" s="6" t="n">
        <x:v>106</x:v>
      </x:c>
      <x:c r="F381" s="6" t="n">
        <x:v>101</x:v>
      </x:c>
      <x:c r="G381" s="7" t="n">
        <x:f>IF(OR(E381="",F381="",F381=0),"",ABS(E381-F381)/ABS(F381))</x:f>
        <x:v>0.04950495049504951</x:v>
      </x:c>
      <x:c r="H381" s="5" t="str">
        <x:v>TAALED</x:v>
      </x:c>
    </x:row>
    <x:row r="382">
      <x:c r="A382" s="5" t="str">
        <x:v>P5</x:v>
      </x:c>
      <x:c r="B382" s="5" t="str">
        <x:v>PXL_20230427_185012191_transcription.xlsx</x:v>
      </x:c>
      <x:c r="C382" s="5" t="str">
        <x:v>P5_T1_corrected.txt</x:v>
      </x:c>
      <x:c r="D382" s="5" t="str">
        <x:v>basic_ncontent_tokens</x:v>
      </x:c>
      <x:c r="E382" s="6" t="n">
        <x:v>77</x:v>
      </x:c>
      <x:c r="F382" s="6" t="n">
        <x:v>73</x:v>
      </x:c>
      <x:c r="G382" s="7" t="n">
        <x:f>IF(OR(E382="",F382="",F382=0),"",ABS(E382-F382)/ABS(F382))</x:f>
        <x:v>0.0547945205479452</x:v>
      </x:c>
      <x:c r="H382" s="5" t="str">
        <x:v>TAALED</x:v>
      </x:c>
    </x:row>
    <x:row r="383">
      <x:c r="A383" s="5" t="str">
        <x:v>P5</x:v>
      </x:c>
      <x:c r="B383" s="5" t="str">
        <x:v>PXL_20230427_185012191_transcription.xlsx</x:v>
      </x:c>
      <x:c r="C383" s="5" t="str">
        <x:v>P5_T1_corrected.txt</x:v>
      </x:c>
      <x:c r="D383" s="5" t="str">
        <x:v>basic_ncontent_types</x:v>
      </x:c>
      <x:c r="E383" s="6" t="n">
        <x:v>65</x:v>
      </x:c>
      <x:c r="F383" s="6" t="n">
        <x:v>62</x:v>
      </x:c>
      <x:c r="G383" s="7" t="n">
        <x:f>IF(OR(E383="",F383="",F383=0),"",ABS(E383-F383)/ABS(F383))</x:f>
        <x:v>0.04838709677419355</x:v>
      </x:c>
      <x:c r="H383" s="5" t="str">
        <x:v>TAALED</x:v>
      </x:c>
    </x:row>
    <x:row r="384">
      <x:c r="A384" s="5" t="str">
        <x:v>P5</x:v>
      </x:c>
      <x:c r="B384" s="5" t="str">
        <x:v>PXL_20230427_185012191_transcription.xlsx</x:v>
      </x:c>
      <x:c r="C384" s="5" t="str">
        <x:v>P5_T1_corrected.txt</x:v>
      </x:c>
      <x:c r="D384" s="5" t="str">
        <x:v>basic_nfunction_tokens</x:v>
      </x:c>
      <x:c r="E384" s="6" t="n">
        <x:v>89</x:v>
      </x:c>
      <x:c r="F384" s="6" t="n">
        <x:v>89</x:v>
      </x:c>
      <x:c r="G384" s="7" t="n">
        <x:f>IF(OR(E384="",F384="",F384=0),"",ABS(E384-F384)/ABS(F384))</x:f>
        <x:v>0</x:v>
      </x:c>
      <x:c r="H384" s="5" t="str">
        <x:v>TAALED</x:v>
      </x:c>
    </x:row>
    <x:row r="385">
      <x:c r="A385" s="5" t="str">
        <x:v>P5</x:v>
      </x:c>
      <x:c r="B385" s="5" t="str">
        <x:v>PXL_20230427_185012191_transcription.xlsx</x:v>
      </x:c>
      <x:c r="C385" s="5" t="str">
        <x:v>P5_T1_corrected.txt</x:v>
      </x:c>
      <x:c r="D385" s="5" t="str">
        <x:v>basic_nfunction_types</x:v>
      </x:c>
      <x:c r="E385" s="6" t="n">
        <x:v>41</x:v>
      </x:c>
      <x:c r="F385" s="6" t="n">
        <x:v>39</x:v>
      </x:c>
      <x:c r="G385" s="7" t="n">
        <x:f>IF(OR(E385="",F385="",F385=0),"",ABS(E385-F385)/ABS(F385))</x:f>
        <x:v>0.05128205128205128</x:v>
      </x:c>
      <x:c r="H385" s="5" t="str">
        <x:v>TAALED</x:v>
      </x:c>
    </x:row>
    <x:row r="386">
      <x:c r="A386" s="5" t="str">
        <x:v>P5</x:v>
      </x:c>
      <x:c r="B386" s="5" t="str">
        <x:v>PXL_20230427_185012191_transcription.xlsx</x:v>
      </x:c>
      <x:c r="C386" s="5" t="str">
        <x:v>P5_T1_corrected.txt</x:v>
      </x:c>
      <x:c r="D386" s="5" t="str">
        <x:v>lexical_density_tokens</x:v>
      </x:c>
      <x:c r="E386" s="6" t="n">
        <x:v>0.463855421686747</x:v>
      </x:c>
      <x:c r="F386" s="6" t="n">
        <x:v>0.4506172839506173</x:v>
      </x:c>
      <x:c r="G386" s="7" t="n">
        <x:f>IF(OR(E386="",F386="",F386=0),"",ABS(E386-F386)/ABS(F386))</x:f>
        <x:v>0.02937778511305494</x:v>
      </x:c>
      <x:c r="H386" s="5" t="str">
        <x:v>TAALED</x:v>
      </x:c>
    </x:row>
    <x:row r="387">
      <x:c r="A387" s="5" t="str">
        <x:v>P5</x:v>
      </x:c>
      <x:c r="B387" s="5" t="str">
        <x:v>PXL_20230427_185012191_transcription.xlsx</x:v>
      </x:c>
      <x:c r="C387" s="5" t="str">
        <x:v>P5_T1_corrected.txt</x:v>
      </x:c>
      <x:c r="D387" s="5" t="str">
        <x:v>lexical_density_types</x:v>
      </x:c>
      <x:c r="E387" s="6" t="n">
        <x:v>0.6132075471698113</x:v>
      </x:c>
      <x:c r="F387" s="6" t="n">
        <x:v>0.6138613861386139</x:v>
      </x:c>
      <x:c r="G387" s="7" t="n">
        <x:f>IF(OR(E387="",F387="",F387=0),"",ABS(E387-F387)/ABS(F387))</x:f>
        <x:v>0.0010651247717590024</x:v>
      </x:c>
      <x:c r="H387" s="5" t="str">
        <x:v>TAALED</x:v>
      </x:c>
    </x:row>
    <x:row r="388">
      <x:c r="A388" s="5" t="str">
        <x:v>P5</x:v>
      </x:c>
      <x:c r="B388" s="5" t="str">
        <x:v>PXL_20230427_185012191_transcription.xlsx</x:v>
      </x:c>
      <x:c r="C388" s="5" t="str">
        <x:v>P5_T1_corrected.txt</x:v>
      </x:c>
      <x:c r="D388" s="5" t="str">
        <x:v>simple_ttr_aw</x:v>
      </x:c>
      <x:c r="E388" s="6" t="n">
        <x:v>0.6385542168674698</x:v>
      </x:c>
      <x:c r="F388" s="6" t="n">
        <x:v>0.6234567901234568</x:v>
      </x:c>
      <x:c r="G388" s="7" t="n">
        <x:f>IF(OR(E388="",F388="",F388=0),"",ABS(E388-F388)/ABS(F388))</x:f>
        <x:v>0.024215674579506068</x:v>
      </x:c>
      <x:c r="H388" s="5" t="str">
        <x:v>TAALED</x:v>
      </x:c>
    </x:row>
    <x:row r="389">
      <x:c r="A389" s="5" t="str">
        <x:v>P5</x:v>
      </x:c>
      <x:c r="B389" s="5" t="str">
        <x:v>PXL_20230427_185012191_transcription.xlsx</x:v>
      </x:c>
      <x:c r="C389" s="5" t="str">
        <x:v>P5_T1_corrected.txt</x:v>
      </x:c>
      <x:c r="D389" s="5" t="str">
        <x:v>root_ttr_aw</x:v>
      </x:c>
      <x:c r="E389" s="6" t="n">
        <x:v>8.227195572487128</x:v>
      </x:c>
      <x:c r="F389" s="6" t="n">
        <x:v>7.9353094333157</x:v>
      </x:c>
      <x:c r="G389" s="7" t="n">
        <x:f>IF(OR(E389="",F389="",F389=0),"",ABS(E389-F389)/ABS(F389))</x:f>
        <x:v>0.036783208219451365</x:v>
      </x:c>
      <x:c r="H389" s="5" t="str">
        <x:v>TAALED</x:v>
      </x:c>
    </x:row>
    <x:row r="390">
      <x:c r="A390" s="5" t="str">
        <x:v>P5</x:v>
      </x:c>
      <x:c r="B390" s="5" t="str">
        <x:v>PXL_20230427_185012191_transcription.xlsx</x:v>
      </x:c>
      <x:c r="C390" s="5" t="str">
        <x:v>P5_T1_corrected.txt</x:v>
      </x:c>
      <x:c r="D390" s="5" t="str">
        <x:v>log_ttr_aw</x:v>
      </x:c>
      <x:c r="E390" s="6" t="n">
        <x:v>0.9122555231320927</x:v>
      </x:c>
      <x:c r="F390" s="6" t="n">
        <x:v>0.9071318187885393</x:v>
      </x:c>
      <x:c r="G390" s="7" t="n">
        <x:f>IF(OR(E390="",F390="",F390=0),"",ABS(E390-F390)/ABS(F390))</x:f>
        <x:v>0.005648246745876457</x:v>
      </x:c>
      <x:c r="H390" s="5" t="str">
        <x:v>TAALED</x:v>
      </x:c>
    </x:row>
    <x:row r="391">
      <x:c r="A391" s="5" t="str">
        <x:v>P5</x:v>
      </x:c>
      <x:c r="B391" s="5" t="str">
        <x:v>PXL_20230427_185012191_transcription.xlsx</x:v>
      </x:c>
      <x:c r="C391" s="5" t="str">
        <x:v>P5_T1_corrected.txt</x:v>
      </x:c>
      <x:c r="D391" s="5" t="str">
        <x:v>maas_ttr_aw</x:v>
      </x:c>
      <x:c r="E391" s="6" t="n">
        <x:v>0.039522614840509625</x:v>
      </x:c>
      <x:c r="F391" s="6" t="n">
        <x:v>0.04203102517983311</x:v>
      </x:c>
      <x:c r="G391" s="7" t="n">
        <x:f>IF(OR(E391="",F391="",F391=0),"",ABS(E391-F391)/ABS(F391))</x:f>
        <x:v>0.05967997041687786</x:v>
      </x:c>
      <x:c r="H391" s="5" t="str">
        <x:v>TAALED</x:v>
      </x:c>
    </x:row>
    <x:row r="392">
      <x:c r="A392" s="5" t="str">
        <x:v>P5</x:v>
      </x:c>
      <x:c r="B392" s="5" t="str">
        <x:v>PXL_20230427_185012191_transcription.xlsx</x:v>
      </x:c>
      <x:c r="C392" s="5" t="str">
        <x:v>P5_T1_corrected.txt</x:v>
      </x:c>
      <x:c r="D392" s="5" t="str">
        <x:v>mattr50_aw</x:v>
      </x:c>
      <x:c r="E392" s="6" t="n">
        <x:v>0.8114529914529914</x:v>
      </x:c>
      <x:c r="F392" s="6" t="n">
        <x:v>0.8023008849557522</x:v>
      </x:c>
      <x:c r="G392" s="7" t="n">
        <x:f>IF(OR(E392="",F392="",F392=0),"",ABS(E392-F392)/ABS(F392))</x:f>
        <x:v>0.01140732444504774</x:v>
      </x:c>
      <x:c r="H392" s="5" t="str">
        <x:v>TAALED</x:v>
      </x:c>
    </x:row>
    <x:row r="393">
      <x:c r="A393" s="5" t="str">
        <x:v>P5</x:v>
      </x:c>
      <x:c r="B393" s="5" t="str">
        <x:v>PXL_20230427_185012191_transcription.xlsx</x:v>
      </x:c>
      <x:c r="C393" s="5" t="str">
        <x:v>P5_T1_corrected.txt</x:v>
      </x:c>
      <x:c r="D393" s="5" t="str">
        <x:v>msttr50_aw</x:v>
      </x:c>
      <x:c r="E393" s="6" t="n">
        <x:v>0.8</x:v>
      </x:c>
      <x:c r="F393" s="6" t="n">
        <x:v>0.7600000000000001</x:v>
      </x:c>
      <x:c r="G393" s="7" t="n">
        <x:f>IF(OR(E393="",F393="",F393=0),"",ABS(E393-F393)/ABS(F393))</x:f>
        <x:v>0.052631578947368314</x:v>
      </x:c>
      <x:c r="H393" s="5" t="str">
        <x:v>TAALED</x:v>
      </x:c>
    </x:row>
    <x:row r="394">
      <x:c r="A394" s="5" t="str">
        <x:v>P5</x:v>
      </x:c>
      <x:c r="B394" s="5" t="str">
        <x:v>PXL_20230427_185012191_transcription.xlsx</x:v>
      </x:c>
      <x:c r="C394" s="5" t="str">
        <x:v>P5_T1_corrected.txt</x:v>
      </x:c>
      <x:c r="D394" s="5" t="str">
        <x:v>hdd42_aw</x:v>
      </x:c>
      <x:c r="E394" s="6" t="n">
        <x:v>0.8197015898554089</x:v>
      </x:c>
      <x:c r="F394" s="6" t="n">
        <x:v>0.8133628860348616</x:v>
      </x:c>
      <x:c r="G394" s="7" t="n">
        <x:f>IF(OR(E394="",F394="",F394=0),"",ABS(E394-F394)/ABS(F394))</x:f>
        <x:v>0.007793205135592526</x:v>
      </x:c>
      <x:c r="H394" s="5" t="str">
        <x:v>TAALED</x:v>
      </x:c>
    </x:row>
    <x:row r="395">
      <x:c r="A395" s="5" t="str">
        <x:v>P5</x:v>
      </x:c>
      <x:c r="B395" s="5" t="str">
        <x:v>PXL_20230427_185012191_transcription.xlsx</x:v>
      </x:c>
      <x:c r="C395" s="5" t="str">
        <x:v>P5_T1_corrected.txt</x:v>
      </x:c>
      <x:c r="D395" s="5" t="str">
        <x:v>mtld_original_aw</x:v>
      </x:c>
      <x:c r="E395" s="6" t="n">
        <x:v>63.31134173461824</x:v>
      </x:c>
      <x:c r="F395" s="6" t="n">
        <x:v>67.69010376033704</x:v>
      </x:c>
      <x:c r="G395" s="7" t="n">
        <x:f>IF(OR(E395="",F395="",F395=0),"",ABS(E395-F395)/ABS(F395))</x:f>
        <x:v>0.06468836332741053</x:v>
      </x:c>
      <x:c r="H395" s="5" t="str">
        <x:v>TAALED</x:v>
      </x:c>
    </x:row>
    <x:row r="396">
      <x:c r="A396" s="5" t="str">
        <x:v>P5</x:v>
      </x:c>
      <x:c r="B396" s="5" t="str">
        <x:v>PXL_20230427_185012191_transcription.xlsx</x:v>
      </x:c>
      <x:c r="C396" s="5" t="str">
        <x:v>P5_T1_corrected.txt</x:v>
      </x:c>
      <x:c r="D396" s="5" t="str">
        <x:v>mtld_mean_factor_length_aw</x:v>
      </x:c>
      <x:c r="E396" s="6" t="n">
        <x:v>59.88888888888889</x:v>
      </x:c>
      <x:c r="F396" s="6" t="n">
        <x:v>62.59</x:v>
      </x:c>
      <x:c r="G396" s="7" t="n">
        <x:f>IF(OR(E396="",F396="",F396=0),"",ABS(E396-F396)/ABS(F396))</x:f>
        <x:v>0.04315563366529974</x:v>
      </x:c>
      <x:c r="H396" s="5" t="str">
        <x:v>TAALED</x:v>
      </x:c>
    </x:row>
    <x:row r="397">
      <x:c r="A397" s="5" t="str">
        <x:v>P5</x:v>
      </x:c>
      <x:c r="B397" s="5" t="str">
        <x:v>PXL_20230427_185012191_transcription.xlsx</x:v>
      </x:c>
      <x:c r="C397" s="5" t="str">
        <x:v>P5_T1_corrected.txt</x:v>
      </x:c>
      <x:c r="D397" s="5" t="str">
        <x:v>total_utterances</x:v>
      </x:c>
      <x:c r="E397" s="6" t="n">
        <x:v>43</x:v>
      </x:c>
      <x:c r="F397" s="6" t="n">
        <x:v>43</x:v>
      </x:c>
      <x:c r="G397" s="7" t="n">
        <x:f>IF(OR(E397="",F397="",F397=0),"",ABS(E397-F397)/ABS(F397))</x:f>
        <x:v>0</x:v>
      </x:c>
      <x:c r="H397" s="5" t="str">
        <x:v>CLAN</x:v>
      </x:c>
    </x:row>
    <x:row r="398">
      <x:c r="A398" s="5" t="str">
        <x:v>P5</x:v>
      </x:c>
      <x:c r="B398" s="5" t="str">
        <x:v>PXL_20230427_185012191_transcription.xlsx</x:v>
      </x:c>
      <x:c r="C398" s="5" t="str">
        <x:v>P5_T1_corrected.txt</x:v>
      </x:c>
      <x:c r="D398" s="5" t="str">
        <x:v>total_words</x:v>
      </x:c>
      <x:c r="E398" s="6" t="n">
        <x:v>154</x:v>
      </x:c>
      <x:c r="F398" s="6" t="n">
        <x:v>153</x:v>
      </x:c>
      <x:c r="G398" s="7" t="n">
        <x:f>IF(OR(E398="",F398="",F398=0),"",ABS(E398-F398)/ABS(F398))</x:f>
        <x:v>0.006535947712418301</x:v>
      </x:c>
      <x:c r="H398" s="5" t="str">
        <x:v>CLAN</x:v>
      </x:c>
    </x:row>
    <x:row r="399">
      <x:c r="A399" s="5" t="str">
        <x:v>P5</x:v>
      </x:c>
      <x:c r="B399" s="5" t="str">
        <x:v>PXL_20230427_185012191_transcription.xlsx</x:v>
      </x:c>
      <x:c r="C399" s="5" t="str">
        <x:v>P5_T1_corrected.txt</x:v>
      </x:c>
      <x:c r="D399" s="5" t="str">
        <x:v>mlu_words</x:v>
      </x:c>
      <x:c r="E399" s="6" t="n">
        <x:v>3.5813953488372094</x:v>
      </x:c>
      <x:c r="F399" s="6" t="n">
        <x:v>3.558</x:v>
      </x:c>
      <x:c r="G399" s="7" t="n">
        <x:f>IF(OR(E399="",F399="",F399=0),"",ABS(E399-F399)/ABS(F399))</x:f>
        <x:v>0.006575421258350089</x:v>
      </x:c>
      <x:c r="H399" s="5" t="str">
        <x:v>CLAN</x:v>
      </x:c>
    </x:row>
    <x:row r="400">
      <x:c r="A400" s="5" t="str">
        <x:v>P5</x:v>
      </x:c>
      <x:c r="B400" s="5" t="str">
        <x:v>PXL_20230427_185012191_transcription.xlsx</x:v>
      </x:c>
      <x:c r="C400" s="5" t="str">
        <x:v>P5_T1_corrected.txt</x:v>
      </x:c>
      <x:c r="D400" s="5" t="str">
        <x:v>mlu_words_sd</x:v>
      </x:c>
      <x:c r="E400" s="6" t="n">
        <x:v>3.4924007744359313</x:v>
      </x:c>
      <x:c r="F400" s="6" t="n">
        <x:v>3.364</x:v>
      </x:c>
      <x:c r="G400" s="7" t="n">
        <x:f>IF(OR(E400="",F400="",F400=0),"",ABS(E400-F400)/ABS(F400))</x:f>
        <x:v>0.03816907682399865</x:v>
      </x:c>
      <x:c r="H400" s="5" t="str">
        <x:v>CLAN</x:v>
      </x:c>
    </x:row>
    <x:row r="401">
      <x:c r="A401" s="5" t="str">
        <x:v>P5</x:v>
      </x:c>
      <x:c r="B401" s="5" t="str">
        <x:v>PXL_20230427_185802030_transcription.xlsx</x:v>
      </x:c>
      <x:c r="C401" s="5" t="str">
        <x:v>P5_T2_corrected.txt</x:v>
      </x:c>
      <x:c r="D401" s="5" t="str">
        <x:v>basic_ntokens</x:v>
      </x:c>
      <x:c r="E401" s="6" t="n">
        <x:v>359</x:v>
      </x:c>
      <x:c r="F401" s="6" t="n">
        <x:v>349</x:v>
      </x:c>
      <x:c r="G401" s="7" t="n">
        <x:f>IF(OR(E401="",F401="",F401=0),"",ABS(E401-F401)/ABS(F401))</x:f>
        <x:v>0.02865329512893983</x:v>
      </x:c>
      <x:c r="H401" s="5" t="str">
        <x:v>TAALED</x:v>
      </x:c>
    </x:row>
    <x:row r="402">
      <x:c r="A402" s="5" t="str">
        <x:v>P5</x:v>
      </x:c>
      <x:c r="B402" s="5" t="str">
        <x:v>PXL_20230427_185802030_transcription.xlsx</x:v>
      </x:c>
      <x:c r="C402" s="5" t="str">
        <x:v>P5_T2_corrected.txt</x:v>
      </x:c>
      <x:c r="D402" s="5" t="str">
        <x:v>basic_ntypes</x:v>
      </x:c>
      <x:c r="E402" s="6" t="n">
        <x:v>172</x:v>
      </x:c>
      <x:c r="F402" s="6" t="n">
        <x:v>170</x:v>
      </x:c>
      <x:c r="G402" s="7" t="n">
        <x:f>IF(OR(E402="",F402="",F402=0),"",ABS(E402-F402)/ABS(F402))</x:f>
        <x:v>0.011764705882352941</x:v>
      </x:c>
      <x:c r="H402" s="5" t="str">
        <x:v>TAALED</x:v>
      </x:c>
    </x:row>
    <x:row r="403">
      <x:c r="A403" s="5" t="str">
        <x:v>P5</x:v>
      </x:c>
      <x:c r="B403" s="5" t="str">
        <x:v>PXL_20230427_185802030_transcription.xlsx</x:v>
      </x:c>
      <x:c r="C403" s="5" t="str">
        <x:v>P5_T2_corrected.txt</x:v>
      </x:c>
      <x:c r="D403" s="5" t="str">
        <x:v>basic_ncontent_tokens</x:v>
      </x:c>
      <x:c r="E403" s="6" t="n">
        <x:v>156</x:v>
      </x:c>
      <x:c r="F403" s="6" t="n">
        <x:v>149</x:v>
      </x:c>
      <x:c r="G403" s="7" t="n">
        <x:f>IF(OR(E403="",F403="",F403=0),"",ABS(E403-F403)/ABS(F403))</x:f>
        <x:v>0.04697986577181208</x:v>
      </x:c>
      <x:c r="H403" s="5" t="str">
        <x:v>TAALED</x:v>
      </x:c>
    </x:row>
    <x:row r="404">
      <x:c r="A404" s="5" t="str">
        <x:v>P5</x:v>
      </x:c>
      <x:c r="B404" s="5" t="str">
        <x:v>PXL_20230427_185802030_transcription.xlsx</x:v>
      </x:c>
      <x:c r="C404" s="5" t="str">
        <x:v>P5_T2_corrected.txt</x:v>
      </x:c>
      <x:c r="D404" s="5" t="str">
        <x:v>basic_ncontent_types</x:v>
      </x:c>
      <x:c r="E404" s="6" t="n">
        <x:v>104</x:v>
      </x:c>
      <x:c r="F404" s="6" t="n">
        <x:v>100</x:v>
      </x:c>
      <x:c r="G404" s="7" t="n">
        <x:f>IF(OR(E404="",F404="",F404=0),"",ABS(E404-F404)/ABS(F404))</x:f>
        <x:v>0.04</x:v>
      </x:c>
      <x:c r="H404" s="5" t="str">
        <x:v>TAALED</x:v>
      </x:c>
    </x:row>
    <x:row r="405">
      <x:c r="A405" s="5" t="str">
        <x:v>P5</x:v>
      </x:c>
      <x:c r="B405" s="5" t="str">
        <x:v>PXL_20230427_185802030_transcription.xlsx</x:v>
      </x:c>
      <x:c r="C405" s="5" t="str">
        <x:v>P5_T2_corrected.txt</x:v>
      </x:c>
      <x:c r="D405" s="5" t="str">
        <x:v>basic_nfunction_tokens</x:v>
      </x:c>
      <x:c r="E405" s="6" t="n">
        <x:v>203</x:v>
      </x:c>
      <x:c r="F405" s="6" t="n">
        <x:v>200</x:v>
      </x:c>
      <x:c r="G405" s="7" t="n">
        <x:f>IF(OR(E405="",F405="",F405=0),"",ABS(E405-F405)/ABS(F405))</x:f>
        <x:v>0.015</x:v>
      </x:c>
      <x:c r="H405" s="5" t="str">
        <x:v>TAALED</x:v>
      </x:c>
    </x:row>
    <x:row r="406">
      <x:c r="A406" s="5" t="str">
        <x:v>P5</x:v>
      </x:c>
      <x:c r="B406" s="5" t="str">
        <x:v>PXL_20230427_185802030_transcription.xlsx</x:v>
      </x:c>
      <x:c r="C406" s="5" t="str">
        <x:v>P5_T2_corrected.txt</x:v>
      </x:c>
      <x:c r="D406" s="5" t="str">
        <x:v>basic_nfunction_types</x:v>
      </x:c>
      <x:c r="E406" s="6" t="n">
        <x:v>68</x:v>
      </x:c>
      <x:c r="F406" s="6" t="n">
        <x:v>70</x:v>
      </x:c>
      <x:c r="G406" s="7" t="n">
        <x:f>IF(OR(E406="",F406="",F406=0),"",ABS(E406-F406)/ABS(F406))</x:f>
        <x:v>0.02857142857142857</x:v>
      </x:c>
      <x:c r="H406" s="5" t="str">
        <x:v>TAALED</x:v>
      </x:c>
    </x:row>
    <x:row r="407">
      <x:c r="A407" s="5" t="str">
        <x:v>P5</x:v>
      </x:c>
      <x:c r="B407" s="5" t="str">
        <x:v>PXL_20230427_185802030_transcription.xlsx</x:v>
      </x:c>
      <x:c r="C407" s="5" t="str">
        <x:v>P5_T2_corrected.txt</x:v>
      </x:c>
      <x:c r="D407" s="5" t="str">
        <x:v>lexical_density_tokens</x:v>
      </x:c>
      <x:c r="E407" s="6" t="n">
        <x:v>0.43454038997214484</x:v>
      </x:c>
      <x:c r="F407" s="6" t="n">
        <x:v>0.4269340974212034</x:v>
      </x:c>
      <x:c r="G407" s="7" t="n">
        <x:f>IF(OR(E407="",F407="",F407=0),"",ABS(E407-F407)/ABS(F407))</x:f>
        <x:v>0.017816081209923187</x:v>
      </x:c>
      <x:c r="H407" s="5" t="str">
        <x:v>TAALED</x:v>
      </x:c>
    </x:row>
    <x:row r="408">
      <x:c r="A408" s="5" t="str">
        <x:v>P5</x:v>
      </x:c>
      <x:c r="B408" s="5" t="str">
        <x:v>PXL_20230427_185802030_transcription.xlsx</x:v>
      </x:c>
      <x:c r="C408" s="5" t="str">
        <x:v>P5_T2_corrected.txt</x:v>
      </x:c>
      <x:c r="D408" s="5" t="str">
        <x:v>lexical_density_types</x:v>
      </x:c>
      <x:c r="E408" s="6" t="n">
        <x:v>0.6046511627906976</x:v>
      </x:c>
      <x:c r="F408" s="6" t="n">
        <x:v>0.5882352941176471</x:v>
      </x:c>
      <x:c r="G408" s="7" t="n">
        <x:f>IF(OR(E408="",F408="",F408=0),"",ABS(E408-F408)/ABS(F408))</x:f>
        <x:v>0.027906976744185952</x:v>
      </x:c>
      <x:c r="H408" s="5" t="str">
        <x:v>TAALED</x:v>
      </x:c>
    </x:row>
    <x:row r="409">
      <x:c r="A409" s="5" t="str">
        <x:v>P5</x:v>
      </x:c>
      <x:c r="B409" s="5" t="str">
        <x:v>PXL_20230427_185802030_transcription.xlsx</x:v>
      </x:c>
      <x:c r="C409" s="5" t="str">
        <x:v>P5_T2_corrected.txt</x:v>
      </x:c>
      <x:c r="D409" s="5" t="str">
        <x:v>simple_ttr_aw</x:v>
      </x:c>
      <x:c r="E409" s="6" t="n">
        <x:v>0.479108635097493</x:v>
      </x:c>
      <x:c r="F409" s="6" t="n">
        <x:v>0.4871060171919771</x:v>
      </x:c>
      <x:c r="G409" s="7" t="n">
        <x:f>IF(OR(E409="",F409="",F409=0),"",ABS(E409-F409)/ABS(F409))</x:f>
        <x:v>0.016418155005734972</x:v>
      </x:c>
      <x:c r="H409" s="5" t="str">
        <x:v>TAALED</x:v>
      </x:c>
    </x:row>
    <x:row r="410">
      <x:c r="A410" s="5" t="str">
        <x:v>P5</x:v>
      </x:c>
      <x:c r="B410" s="5" t="str">
        <x:v>PXL_20230427_185802030_transcription.xlsx</x:v>
      </x:c>
      <x:c r="C410" s="5" t="str">
        <x:v>P5_T2_corrected.txt</x:v>
      </x:c>
      <x:c r="D410" s="5" t="str">
        <x:v>root_ttr_aw</x:v>
      </x:c>
      <x:c r="E410" s="6" t="n">
        <x:v>9.077812800271264</x:v>
      </x:c>
      <x:c r="F410" s="6" t="n">
        <x:v>9.099891368727217</x:v>
      </x:c>
      <x:c r="G410" s="7" t="n">
        <x:f>IF(OR(E410="",F410="",F410=0),"",ABS(E410-F410)/ABS(F410))</x:f>
        <x:v>0.002426245277150061</x:v>
      </x:c>
      <x:c r="H410" s="5" t="str">
        <x:v>TAALED</x:v>
      </x:c>
    </x:row>
    <x:row r="411">
      <x:c r="A411" s="5" t="str">
        <x:v>P5</x:v>
      </x:c>
      <x:c r="B411" s="5" t="str">
        <x:v>PXL_20230427_185802030_transcription.xlsx</x:v>
      </x:c>
      <x:c r="C411" s="5" t="str">
        <x:v>P5_T2_corrected.txt</x:v>
      </x:c>
      <x:c r="D411" s="5" t="str">
        <x:v>log_ttr_aw</x:v>
      </x:c>
      <x:c r="E411" s="6" t="n">
        <x:v>0.8749298673289434</x:v>
      </x:c>
      <x:c r="F411" s="6" t="n">
        <x:v>0.8771537745890566</x:v>
      </x:c>
      <x:c r="G411" s="7" t="n">
        <x:f>IF(OR(E411="",F411="",F411=0),"",ABS(E411-F411)/ABS(F411))</x:f>
        <x:v>0.0025353675997747674</x:v>
      </x:c>
      <x:c r="H411" s="5" t="str">
        <x:v>TAALED</x:v>
      </x:c>
    </x:row>
    <x:row r="412">
      <x:c r="A412" s="5" t="str">
        <x:v>P5</x:v>
      </x:c>
      <x:c r="B412" s="5" t="str">
        <x:v>PXL_20230427_185802030_transcription.xlsx</x:v>
      </x:c>
      <x:c r="C412" s="5" t="str">
        <x:v>P5_T2_corrected.txt</x:v>
      </x:c>
      <x:c r="D412" s="5" t="str">
        <x:v>maas_ttr_aw</x:v>
      </x:c>
      <x:c r="E412" s="6" t="n">
        <x:v>0.04894931877788194</x:v>
      </x:c>
      <x:c r="F412" s="6" t="n">
        <x:v>0.048310915923885554</x:v>
      </x:c>
      <x:c r="G412" s="7" t="n">
        <x:f>IF(OR(E412="",F412="",F412=0),"",ABS(E412-F412)/ABS(F412))</x:f>
        <x:v>0.013214463890566581</x:v>
      </x:c>
      <x:c r="H412" s="5" t="str">
        <x:v>TAALED</x:v>
      </x:c>
    </x:row>
    <x:row r="413">
      <x:c r="A413" s="5" t="str">
        <x:v>P5</x:v>
      </x:c>
      <x:c r="B413" s="5" t="str">
        <x:v>PXL_20230427_185802030_transcription.xlsx</x:v>
      </x:c>
      <x:c r="C413" s="5" t="str">
        <x:v>P5_T2_corrected.txt</x:v>
      </x:c>
      <x:c r="D413" s="5" t="str">
        <x:v>mattr50_aw</x:v>
      </x:c>
      <x:c r="E413" s="6" t="n">
        <x:v>0.7672258064516129</x:v>
      </x:c>
      <x:c r="F413" s="6" t="n">
        <x:v>0.7613333333333333</x:v>
      </x:c>
      <x:c r="G413" s="7" t="n">
        <x:f>IF(OR(E413="",F413="",F413=0),"",ABS(E413-F413)/ABS(F413))</x:f>
        <x:v>0.007739675724535327</x:v>
      </x:c>
      <x:c r="H413" s="5" t="str">
        <x:v>TAALED</x:v>
      </x:c>
    </x:row>
    <x:row r="414">
      <x:c r="A414" s="5" t="str">
        <x:v>P5</x:v>
      </x:c>
      <x:c r="B414" s="5" t="str">
        <x:v>PXL_20230427_185802030_transcription.xlsx</x:v>
      </x:c>
      <x:c r="C414" s="5" t="str">
        <x:v>P5_T2_corrected.txt</x:v>
      </x:c>
      <x:c r="D414" s="5" t="str">
        <x:v>msttr50_aw</x:v>
      </x:c>
      <x:c r="E414" s="6" t="n">
        <x:v>0.7914285714285715</x:v>
      </x:c>
      <x:c r="F414" s="6" t="n">
        <x:v>0.7666666666666667</x:v>
      </x:c>
      <x:c r="G414" s="7" t="n">
        <x:f>IF(OR(E414="",F414="",F414=0),"",ABS(E414-F414)/ABS(F414))</x:f>
        <x:v>0.03229813664596273</x:v>
      </x:c>
      <x:c r="H414" s="5" t="str">
        <x:v>TAALED</x:v>
      </x:c>
    </x:row>
    <x:row r="415">
      <x:c r="A415" s="5" t="str">
        <x:v>P5</x:v>
      </x:c>
      <x:c r="B415" s="5" t="str">
        <x:v>PXL_20230427_185802030_transcription.xlsx</x:v>
      </x:c>
      <x:c r="C415" s="5" t="str">
        <x:v>P5_T2_corrected.txt</x:v>
      </x:c>
      <x:c r="D415" s="5" t="str">
        <x:v>hdd42_aw</x:v>
      </x:c>
      <x:c r="E415" s="6" t="n">
        <x:v>0.8482896178875121</x:v>
      </x:c>
      <x:c r="F415" s="6" t="n">
        <x:v>0.8479475265373789</x:v>
      </x:c>
      <x:c r="G415" s="7" t="n">
        <x:f>IF(OR(E415="",F415="",F415=0),"",ABS(E415-F415)/ABS(F415))</x:f>
        <x:v>0.0004034345751677938</x:v>
      </x:c>
      <x:c r="H415" s="5" t="str">
        <x:v>TAALED</x:v>
      </x:c>
    </x:row>
    <x:row r="416">
      <x:c r="A416" s="5" t="str">
        <x:v>P5</x:v>
      </x:c>
      <x:c r="B416" s="5" t="str">
        <x:v>PXL_20230427_185802030_transcription.xlsx</x:v>
      </x:c>
      <x:c r="C416" s="5" t="str">
        <x:v>P5_T2_corrected.txt</x:v>
      </x:c>
      <x:c r="D416" s="5" t="str">
        <x:v>mtld_original_aw</x:v>
      </x:c>
      <x:c r="E416" s="6" t="n">
        <x:v>66.51419426277725</x:v>
      </x:c>
      <x:c r="F416" s="6" t="n">
        <x:v>64.78737003465743</x:v>
      </x:c>
      <x:c r="G416" s="7" t="n">
        <x:f>IF(OR(E416="",F416="",F416=0),"",ABS(E416-F416)/ABS(F416))</x:f>
        <x:v>0.026653717031515166</x:v>
      </x:c>
      <x:c r="H416" s="5" t="str">
        <x:v>TAALED</x:v>
      </x:c>
    </x:row>
    <x:row r="417">
      <x:c r="A417" s="5" t="str">
        <x:v>P5</x:v>
      </x:c>
      <x:c r="B417" s="5" t="str">
        <x:v>PXL_20230427_185802030_transcription.xlsx</x:v>
      </x:c>
      <x:c r="C417" s="5" t="str">
        <x:v>P5_T2_corrected.txt</x:v>
      </x:c>
      <x:c r="D417" s="5" t="str">
        <x:v>mtld_mean_factor_length_aw</x:v>
      </x:c>
      <x:c r="E417" s="6" t="n">
        <x:v>67.95055555555555</x:v>
      </x:c>
      <x:c r="F417" s="6" t="n">
        <x:v>65.39466666666667</x:v>
      </x:c>
      <x:c r="G417" s="7" t="n">
        <x:f>IF(OR(E417="",F417="",F417=0),"",ABS(E417-F417)/ABS(F417))</x:f>
        <x:v>0.039084057143633846</x:v>
      </x:c>
      <x:c r="H417" s="5" t="str">
        <x:v>TAALED</x:v>
      </x:c>
    </x:row>
    <x:row r="418">
      <x:c r="A418" s="5" t="str">
        <x:v>P5</x:v>
      </x:c>
      <x:c r="B418" s="5" t="str">
        <x:v>PXL_20230427_185802030_transcription.xlsx</x:v>
      </x:c>
      <x:c r="C418" s="5" t="str">
        <x:v>P5_T2_corrected.txt</x:v>
      </x:c>
      <x:c r="D418" s="5" t="str">
        <x:v>total_utterances</x:v>
      </x:c>
      <x:c r="E418" s="6" t="n">
        <x:v>53</x:v>
      </x:c>
      <x:c r="F418" s="6" t="n">
        <x:v>53</x:v>
      </x:c>
      <x:c r="G418" s="7" t="n">
        <x:f>IF(OR(E418="",F418="",F418=0),"",ABS(E418-F418)/ABS(F418))</x:f>
        <x:v>0</x:v>
      </x:c>
      <x:c r="H418" s="5" t="str">
        <x:v>CLAN</x:v>
      </x:c>
    </x:row>
    <x:row r="419">
      <x:c r="A419" s="5" t="str">
        <x:v>P5</x:v>
      </x:c>
      <x:c r="B419" s="5" t="str">
        <x:v>PXL_20230427_185802030_transcription.xlsx</x:v>
      </x:c>
      <x:c r="C419" s="5" t="str">
        <x:v>P5_T2_corrected.txt</x:v>
      </x:c>
      <x:c r="D419" s="5" t="str">
        <x:v>total_words</x:v>
      </x:c>
      <x:c r="E419" s="6" t="n">
        <x:v>334</x:v>
      </x:c>
      <x:c r="F419" s="6" t="n">
        <x:v>325</x:v>
      </x:c>
      <x:c r="G419" s="7" t="n">
        <x:f>IF(OR(E419="",F419="",F419=0),"",ABS(E419-F419)/ABS(F419))</x:f>
        <x:v>0.027692307692307693</x:v>
      </x:c>
      <x:c r="H419" s="5" t="str">
        <x:v>CLAN</x:v>
      </x:c>
    </x:row>
    <x:row r="420">
      <x:c r="A420" s="5" t="str">
        <x:v>P5</x:v>
      </x:c>
      <x:c r="B420" s="5" t="str">
        <x:v>PXL_20230427_185802030_transcription.xlsx</x:v>
      </x:c>
      <x:c r="C420" s="5" t="str">
        <x:v>P5_T2_corrected.txt</x:v>
      </x:c>
      <x:c r="D420" s="5" t="str">
        <x:v>mlu_words</x:v>
      </x:c>
      <x:c r="E420" s="6" t="n">
        <x:v>6.30188679245283</x:v>
      </x:c>
      <x:c r="F420" s="6" t="n">
        <x:v>6.132</x:v>
      </x:c>
      <x:c r="G420" s="7" t="n">
        <x:f>IF(OR(E420="",F420="",F420=0),"",ABS(E420-F420)/ABS(F420))</x:f>
        <x:v>0.02770495636869381</x:v>
      </x:c>
      <x:c r="H420" s="5" t="str">
        <x:v>CLAN</x:v>
      </x:c>
    </x:row>
    <x:row r="421">
      <x:c r="A421" s="5" t="str">
        <x:v>P5</x:v>
      </x:c>
      <x:c r="B421" s="5" t="str">
        <x:v>PXL_20230427_185802030_transcription.xlsx</x:v>
      </x:c>
      <x:c r="C421" s="5" t="str">
        <x:v>P5_T2_corrected.txt</x:v>
      </x:c>
      <x:c r="D421" s="5" t="str">
        <x:v>mlu_words_sd</x:v>
      </x:c>
      <x:c r="E421" s="6" t="n">
        <x:v>7.411324597470471</x:v>
      </x:c>
      <x:c r="F421" s="6" t="n">
        <x:v>6.372</x:v>
      </x:c>
      <x:c r="G421" s="7" t="n">
        <x:f>IF(OR(E421="",F421="",F421=0),"",ABS(E421-F421)/ABS(F421))</x:f>
        <x:v>0.16310806614414172</x:v>
      </x:c>
      <x:c r="H421" s="5" t="str">
        <x:v>CLAN</x:v>
      </x:c>
    </x:row>
    <x:row r="422">
      <x:c r="A422" s="5" t="str">
        <x:v>P5</x:v>
      </x:c>
      <x:c r="B422" s="5" t="str">
        <x:v>PXL_20230427_190713183_transcription.xlsx</x:v>
      </x:c>
      <x:c r="C422" s="5" t="str">
        <x:v>P5_T3_corrected.txt</x:v>
      </x:c>
      <x:c r="D422" s="5" t="str">
        <x:v>basic_ntokens</x:v>
      </x:c>
      <x:c r="E422" s="6" t="n">
        <x:v>340</x:v>
      </x:c>
      <x:c r="F422" s="6" t="n">
        <x:v>334</x:v>
      </x:c>
      <x:c r="G422" s="7" t="n">
        <x:f>IF(OR(E422="",F422="",F422=0),"",ABS(E422-F422)/ABS(F422))</x:f>
        <x:v>0.017964071856287425</x:v>
      </x:c>
      <x:c r="H422" s="5" t="str">
        <x:v>TAALED</x:v>
      </x:c>
    </x:row>
    <x:row r="423">
      <x:c r="A423" s="5" t="str">
        <x:v>P5</x:v>
      </x:c>
      <x:c r="B423" s="5" t="str">
        <x:v>PXL_20230427_190713183_transcription.xlsx</x:v>
      </x:c>
      <x:c r="C423" s="5" t="str">
        <x:v>P5_T3_corrected.txt</x:v>
      </x:c>
      <x:c r="D423" s="5" t="str">
        <x:v>basic_ntypes</x:v>
      </x:c>
      <x:c r="E423" s="6" t="n">
        <x:v>161</x:v>
      </x:c>
      <x:c r="F423" s="6" t="n">
        <x:v>156</x:v>
      </x:c>
      <x:c r="G423" s="7" t="n">
        <x:f>IF(OR(E423="",F423="",F423=0),"",ABS(E423-F423)/ABS(F423))</x:f>
        <x:v>0.03205128205128205</x:v>
      </x:c>
      <x:c r="H423" s="5" t="str">
        <x:v>TAALED</x:v>
      </x:c>
    </x:row>
    <x:row r="424">
      <x:c r="A424" s="5" t="str">
        <x:v>P5</x:v>
      </x:c>
      <x:c r="B424" s="5" t="str">
        <x:v>PXL_20230427_190713183_transcription.xlsx</x:v>
      </x:c>
      <x:c r="C424" s="5" t="str">
        <x:v>P5_T3_corrected.txt</x:v>
      </x:c>
      <x:c r="D424" s="5" t="str">
        <x:v>basic_ncontent_tokens</x:v>
      </x:c>
      <x:c r="E424" s="6" t="n">
        <x:v>154</x:v>
      </x:c>
      <x:c r="F424" s="6" t="n">
        <x:v>153</x:v>
      </x:c>
      <x:c r="G424" s="7" t="n">
        <x:f>IF(OR(E424="",F424="",F424=0),"",ABS(E424-F424)/ABS(F424))</x:f>
        <x:v>0.006535947712418301</x:v>
      </x:c>
      <x:c r="H424" s="5" t="str">
        <x:v>TAALED</x:v>
      </x:c>
    </x:row>
    <x:row r="425">
      <x:c r="A425" s="5" t="str">
        <x:v>P5</x:v>
      </x:c>
      <x:c r="B425" s="5" t="str">
        <x:v>PXL_20230427_190713183_transcription.xlsx</x:v>
      </x:c>
      <x:c r="C425" s="5" t="str">
        <x:v>P5_T3_corrected.txt</x:v>
      </x:c>
      <x:c r="D425" s="5" t="str">
        <x:v>basic_ncontent_types</x:v>
      </x:c>
      <x:c r="E425" s="6" t="n">
        <x:v>98</x:v>
      </x:c>
      <x:c r="F425" s="6" t="n">
        <x:v>97</x:v>
      </x:c>
      <x:c r="G425" s="7" t="n">
        <x:f>IF(OR(E425="",F425="",F425=0),"",ABS(E425-F425)/ABS(F425))</x:f>
        <x:v>0.010309278350515464</x:v>
      </x:c>
      <x:c r="H425" s="5" t="str">
        <x:v>TAALED</x:v>
      </x:c>
    </x:row>
    <x:row r="426">
      <x:c r="A426" s="5" t="str">
        <x:v>P5</x:v>
      </x:c>
      <x:c r="B426" s="5" t="str">
        <x:v>PXL_20230427_190713183_transcription.xlsx</x:v>
      </x:c>
      <x:c r="C426" s="5" t="str">
        <x:v>P5_T3_corrected.txt</x:v>
      </x:c>
      <x:c r="D426" s="5" t="str">
        <x:v>basic_nfunction_tokens</x:v>
      </x:c>
      <x:c r="E426" s="6" t="n">
        <x:v>186</x:v>
      </x:c>
      <x:c r="F426" s="6" t="n">
        <x:v>181</x:v>
      </x:c>
      <x:c r="G426" s="7" t="n">
        <x:f>IF(OR(E426="",F426="",F426=0),"",ABS(E426-F426)/ABS(F426))</x:f>
        <x:v>0.027624309392265192</x:v>
      </x:c>
      <x:c r="H426" s="5" t="str">
        <x:v>TAALED</x:v>
      </x:c>
    </x:row>
    <x:row r="427">
      <x:c r="A427" s="5" t="str">
        <x:v>P5</x:v>
      </x:c>
      <x:c r="B427" s="5" t="str">
        <x:v>PXL_20230427_190713183_transcription.xlsx</x:v>
      </x:c>
      <x:c r="C427" s="5" t="str">
        <x:v>P5_T3_corrected.txt</x:v>
      </x:c>
      <x:c r="D427" s="5" t="str">
        <x:v>basic_nfunction_types</x:v>
      </x:c>
      <x:c r="E427" s="6" t="n">
        <x:v>63</x:v>
      </x:c>
      <x:c r="F427" s="6" t="n">
        <x:v>59</x:v>
      </x:c>
      <x:c r="G427" s="7" t="n">
        <x:f>IF(OR(E427="",F427="",F427=0),"",ABS(E427-F427)/ABS(F427))</x:f>
        <x:v>0.06779661016949153</x:v>
      </x:c>
      <x:c r="H427" s="5" t="str">
        <x:v>TAALED</x:v>
      </x:c>
    </x:row>
    <x:row r="428">
      <x:c r="A428" s="5" t="str">
        <x:v>P5</x:v>
      </x:c>
      <x:c r="B428" s="5" t="str">
        <x:v>PXL_20230427_190713183_transcription.xlsx</x:v>
      </x:c>
      <x:c r="C428" s="5" t="str">
        <x:v>P5_T3_corrected.txt</x:v>
      </x:c>
      <x:c r="D428" s="5" t="str">
        <x:v>lexical_density_tokens</x:v>
      </x:c>
      <x:c r="E428" s="6" t="n">
        <x:v>0.45294117647058824</x:v>
      </x:c>
      <x:c r="F428" s="6" t="n">
        <x:v>0.45808383233532934</x:v>
      </x:c>
      <x:c r="G428" s="7" t="n">
        <x:f>IF(OR(E428="",F428="",F428=0),"",ABS(E428-F428)/ABS(F428))</x:f>
        <x:v>0.011226451364859674</x:v>
      </x:c>
      <x:c r="H428" s="5" t="str">
        <x:v>TAALED</x:v>
      </x:c>
    </x:row>
    <x:row r="429">
      <x:c r="A429" s="5" t="str">
        <x:v>P5</x:v>
      </x:c>
      <x:c r="B429" s="5" t="str">
        <x:v>PXL_20230427_190713183_transcription.xlsx</x:v>
      </x:c>
      <x:c r="C429" s="5" t="str">
        <x:v>P5_T3_corrected.txt</x:v>
      </x:c>
      <x:c r="D429" s="5" t="str">
        <x:v>lexical_density_types</x:v>
      </x:c>
      <x:c r="E429" s="6" t="n">
        <x:v>0.6086956521739131</x:v>
      </x:c>
      <x:c r="F429" s="6" t="n">
        <x:v>0.6217948717948718</x:v>
      </x:c>
      <x:c r="G429" s="7" t="n">
        <x:f>IF(OR(E429="",F429="",F429=0),"",ABS(E429-F429)/ABS(F429))</x:f>
        <x:v>0.021066786194531555</x:v>
      </x:c>
      <x:c r="H429" s="5" t="str">
        <x:v>TAALED</x:v>
      </x:c>
    </x:row>
    <x:row r="430">
      <x:c r="A430" s="5" t="str">
        <x:v>P5</x:v>
      </x:c>
      <x:c r="B430" s="5" t="str">
        <x:v>PXL_20230427_190713183_transcription.xlsx</x:v>
      </x:c>
      <x:c r="C430" s="5" t="str">
        <x:v>P5_T3_corrected.txt</x:v>
      </x:c>
      <x:c r="D430" s="5" t="str">
        <x:v>simple_ttr_aw</x:v>
      </x:c>
      <x:c r="E430" s="6" t="n">
        <x:v>0.47352941176470587</x:v>
      </x:c>
      <x:c r="F430" s="6" t="n">
        <x:v>0.46706586826347307</x:v>
      </x:c>
      <x:c r="G430" s="7" t="n">
        <x:f>IF(OR(E430="",F430="",F430=0),"",ABS(E430-F430)/ABS(F430))</x:f>
        <x:v>0.013838612368024058</x:v>
      </x:c>
      <x:c r="H430" s="5" t="str">
        <x:v>TAALED</x:v>
      </x:c>
    </x:row>
    <x:row r="431">
      <x:c r="A431" s="5" t="str">
        <x:v>P5</x:v>
      </x:c>
      <x:c r="B431" s="5" t="str">
        <x:v>PXL_20230427_190713183_transcription.xlsx</x:v>
      </x:c>
      <x:c r="C431" s="5" t="str">
        <x:v>P5_T3_corrected.txt</x:v>
      </x:c>
      <x:c r="D431" s="5" t="str">
        <x:v>root_ttr_aw</x:v>
      </x:c>
      <x:c r="E431" s="6" t="n">
        <x:v>8.73145092720091</x:v>
      </x:c>
      <x:c r="F431" s="6" t="n">
        <x:v>8.535940220567491</x:v>
      </x:c>
      <x:c r="G431" s="7" t="n">
        <x:f>IF(OR(E431="",F431="",F431=0),"",ABS(E431-F431)/ABS(F431))</x:f>
        <x:v>0.022904413758935732</x:v>
      </x:c>
      <x:c r="H431" s="5" t="str">
        <x:v>TAALED</x:v>
      </x:c>
    </x:row>
    <x:row r="432">
      <x:c r="A432" s="5" t="str">
        <x:v>P5</x:v>
      </x:c>
      <x:c r="B432" s="5" t="str">
        <x:v>PXL_20230427_190713183_transcription.xlsx</x:v>
      </x:c>
      <x:c r="C432" s="5" t="str">
        <x:v>P5_T3_corrected.txt</x:v>
      </x:c>
      <x:c r="D432" s="5" t="str">
        <x:v>log_ttr_aw</x:v>
      </x:c>
      <x:c r="E432" s="6" t="n">
        <x:v>0.8717536066270204</x:v>
      </x:c>
      <x:c r="F432" s="6" t="n">
        <x:v>0.8689956091846255</x:v>
      </x:c>
      <x:c r="G432" s="7" t="n">
        <x:f>IF(OR(E432="",F432="",F432=0),"",ABS(E432-F432)/ABS(F432))</x:f>
        <x:v>0.003173776038963795</x:v>
      </x:c>
      <x:c r="H432" s="5" t="str">
        <x:v>TAALED</x:v>
      </x:c>
    </x:row>
    <x:row r="433">
      <x:c r="A433" s="5" t="str">
        <x:v>P5</x:v>
      </x:c>
      <x:c r="B433" s="5" t="str">
        <x:v>PXL_20230427_190713183_transcription.xlsx</x:v>
      </x:c>
      <x:c r="C433" s="5" t="str">
        <x:v>P5_T3_corrected.txt</x:v>
      </x:c>
      <x:c r="D433" s="5" t="str">
        <x:v>maas_ttr_aw</x:v>
      </x:c>
      <x:c r="E433" s="6" t="n">
        <x:v>0.050660660260532966</x:v>
      </x:c>
      <x:c r="F433" s="6" t="n">
        <x:v>0.05190869706531263</x:v>
      </x:c>
      <x:c r="G433" s="7" t="n">
        <x:f>IF(OR(E433="",F433="",F433=0),"",ABS(E433-F433)/ABS(F433))</x:f>
        <x:v>0.024042922965478292</x:v>
      </x:c>
      <x:c r="H433" s="5" t="str">
        <x:v>TAALED</x:v>
      </x:c>
    </x:row>
    <x:row r="434">
      <x:c r="A434" s="5" t="str">
        <x:v>P5</x:v>
      </x:c>
      <x:c r="B434" s="5" t="str">
        <x:v>PXL_20230427_190713183_transcription.xlsx</x:v>
      </x:c>
      <x:c r="C434" s="5" t="str">
        <x:v>P5_T3_corrected.txt</x:v>
      </x:c>
      <x:c r="D434" s="5" t="str">
        <x:v>mattr50_aw</x:v>
      </x:c>
      <x:c r="E434" s="6" t="n">
        <x:v>0.7218556701030928</x:v>
      </x:c>
      <x:c r="F434" s="6" t="n">
        <x:v>0.7192280701754385</x:v>
      </x:c>
      <x:c r="G434" s="7" t="n">
        <x:f>IF(OR(E434="",F434="",F434=0),"",ABS(E434-F434)/ABS(F434))</x:f>
        <x:v>0.0036533612029537818</x:v>
      </x:c>
      <x:c r="H434" s="5" t="str">
        <x:v>TAALED</x:v>
      </x:c>
    </x:row>
    <x:row r="435">
      <x:c r="A435" s="5" t="str">
        <x:v>P5</x:v>
      </x:c>
      <x:c r="B435" s="5" t="str">
        <x:v>PXL_20230427_190713183_transcription.xlsx</x:v>
      </x:c>
      <x:c r="C435" s="5" t="str">
        <x:v>P5_T3_corrected.txt</x:v>
      </x:c>
      <x:c r="D435" s="5" t="str">
        <x:v>msttr50_aw</x:v>
      </x:c>
      <x:c r="E435" s="6" t="n">
        <x:v>0.7333333333333333</x:v>
      </x:c>
      <x:c r="F435" s="6" t="n">
        <x:v>0.7366666666666667</x:v>
      </x:c>
      <x:c r="G435" s="7" t="n">
        <x:f>IF(OR(E435="",F435="",F435=0),"",ABS(E435-F435)/ABS(F435))</x:f>
        <x:v>0.004524886877828159</x:v>
      </x:c>
      <x:c r="H435" s="5" t="str">
        <x:v>TAALED</x:v>
      </x:c>
    </x:row>
    <x:row r="436">
      <x:c r="A436" s="5" t="str">
        <x:v>P5</x:v>
      </x:c>
      <x:c r="B436" s="5" t="str">
        <x:v>PXL_20230427_190713183_transcription.xlsx</x:v>
      </x:c>
      <x:c r="C436" s="5" t="str">
        <x:v>P5_T3_corrected.txt</x:v>
      </x:c>
      <x:c r="D436" s="5" t="str">
        <x:v>hdd42_aw</x:v>
      </x:c>
      <x:c r="E436" s="6" t="n">
        <x:v>0.8159731948434376</x:v>
      </x:c>
      <x:c r="F436" s="6" t="n">
        <x:v>0.8102826003034085</x:v>
      </x:c>
      <x:c r="G436" s="7" t="n">
        <x:f>IF(OR(E436="",F436="",F436=0),"",ABS(E436-F436)/ABS(F436))</x:f>
        <x:v>0.007022975117444506</x:v>
      </x:c>
      <x:c r="H436" s="5" t="str">
        <x:v>TAALED</x:v>
      </x:c>
    </x:row>
    <x:row r="437">
      <x:c r="A437" s="5" t="str">
        <x:v>P5</x:v>
      </x:c>
      <x:c r="B437" s="5" t="str">
        <x:v>PXL_20230427_190713183_transcription.xlsx</x:v>
      </x:c>
      <x:c r="C437" s="5" t="str">
        <x:v>P5_T3_corrected.txt</x:v>
      </x:c>
      <x:c r="D437" s="5" t="str">
        <x:v>mtld_original_aw</x:v>
      </x:c>
      <x:c r="E437" s="6" t="n">
        <x:v>45.019247802684475</x:v>
      </x:c>
      <x:c r="F437" s="6" t="n">
        <x:v>43.1802905464007</x:v>
      </x:c>
      <x:c r="G437" s="7" t="n">
        <x:f>IF(OR(E437="",F437="",F437=0),"",ABS(E437-F437)/ABS(F437))</x:f>
        <x:v>0.04258788519052852</x:v>
      </x:c>
      <x:c r="H437" s="5" t="str">
        <x:v>TAALED</x:v>
      </x:c>
    </x:row>
    <x:row r="438">
      <x:c r="A438" s="5" t="str">
        <x:v>P5</x:v>
      </x:c>
      <x:c r="B438" s="5" t="str">
        <x:v>PXL_20230427_190713183_transcription.xlsx</x:v>
      </x:c>
      <x:c r="C438" s="5" t="str">
        <x:v>P5_T3_corrected.txt</x:v>
      </x:c>
      <x:c r="D438" s="5" t="str">
        <x:v>mtld_mean_factor_length_aw</x:v>
      </x:c>
      <x:c r="E438" s="6" t="n">
        <x:v>45.200208333333336</x:v>
      </x:c>
      <x:c r="F438" s="6" t="n">
        <x:v>42.13583333333333</x:v>
      </x:c>
      <x:c r="G438" s="7" t="n">
        <x:f>IF(OR(E438="",F438="",F438=0),"",ABS(E438-F438)/ABS(F438))</x:f>
        <x:v>0.07272610406819228</x:v>
      </x:c>
      <x:c r="H438" s="5" t="str">
        <x:v>TAALED</x:v>
      </x:c>
    </x:row>
    <x:row r="439">
      <x:c r="A439" s="5" t="str">
        <x:v>P5</x:v>
      </x:c>
      <x:c r="B439" s="5" t="str">
        <x:v>PXL_20230427_190713183_transcription.xlsx</x:v>
      </x:c>
      <x:c r="C439" s="5" t="str">
        <x:v>P5_T3_corrected.txt</x:v>
      </x:c>
      <x:c r="D439" s="5" t="str">
        <x:v>total_utterances</x:v>
      </x:c>
      <x:c r="E439" s="6" t="n">
        <x:v>53</x:v>
      </x:c>
      <x:c r="F439" s="6" t="n">
        <x:v>41</x:v>
      </x:c>
      <x:c r="G439" s="7" t="n">
        <x:f>IF(OR(E439="",F439="",F439=0),"",ABS(E439-F439)/ABS(F439))</x:f>
        <x:v>0.2926829268292683</x:v>
      </x:c>
      <x:c r="H439" s="5" t="str">
        <x:v>CLAN</x:v>
      </x:c>
    </x:row>
    <x:row r="440">
      <x:c r="A440" s="5" t="str">
        <x:v>P5</x:v>
      </x:c>
      <x:c r="B440" s="5" t="str">
        <x:v>PXL_20230427_190713183_transcription.xlsx</x:v>
      </x:c>
      <x:c r="C440" s="5" t="str">
        <x:v>P5_T3_corrected.txt</x:v>
      </x:c>
      <x:c r="D440" s="5" t="str">
        <x:v>total_words</x:v>
      </x:c>
      <x:c r="E440" s="6" t="n">
        <x:v>332</x:v>
      </x:c>
      <x:c r="F440" s="6" t="n">
        <x:v>327</x:v>
      </x:c>
      <x:c r="G440" s="7" t="n">
        <x:f>IF(OR(E440="",F440="",F440=0),"",ABS(E440-F440)/ABS(F440))</x:f>
        <x:v>0.01529051987767584</x:v>
      </x:c>
      <x:c r="H440" s="5" t="str">
        <x:v>CLAN</x:v>
      </x:c>
    </x:row>
    <x:row r="441">
      <x:c r="A441" s="5" t="str">
        <x:v>P5</x:v>
      </x:c>
      <x:c r="B441" s="5" t="str">
        <x:v>PXL_20230427_190713183_transcription.xlsx</x:v>
      </x:c>
      <x:c r="C441" s="5" t="str">
        <x:v>P5_T3_corrected.txt</x:v>
      </x:c>
      <x:c r="D441" s="5" t="str">
        <x:v>mlu_words</x:v>
      </x:c>
      <x:c r="E441" s="6" t="n">
        <x:v>6.264150943396227</x:v>
      </x:c>
      <x:c r="F441" s="6" t="n">
        <x:v>7.976</x:v>
      </x:c>
      <x:c r="G441" s="7" t="n">
        <x:f>IF(OR(E441="",F441="",F441=0),"",ABS(E441-F441)/ABS(F441))</x:f>
        <x:v>0.21462500709676194</x:v>
      </x:c>
      <x:c r="H441" s="5" t="str">
        <x:v>CLAN</x:v>
      </x:c>
    </x:row>
    <x:row r="442">
      <x:c r="A442" s="5" t="str">
        <x:v>P5</x:v>
      </x:c>
      <x:c r="B442" s="5" t="str">
        <x:v>PXL_20230427_190713183_transcription.xlsx</x:v>
      </x:c>
      <x:c r="C442" s="5" t="str">
        <x:v>P5_T3_corrected.txt</x:v>
      </x:c>
      <x:c r="D442" s="5" t="str">
        <x:v>mlu_words_sd</x:v>
      </x:c>
      <x:c r="E442" s="6" t="n">
        <x:v>4.682971735885546</x:v>
      </x:c>
      <x:c r="F442" s="6" t="n">
        <x:v>6.976</x:v>
      </x:c>
      <x:c r="G442" s="7" t="n">
        <x:f>IF(OR(E442="",F442="",F442=0),"",ABS(E442-F442)/ABS(F442))</x:f>
        <x:v>0.3287024461173243</x:v>
      </x:c>
      <x:c r="H442" s="5" t="str">
        <x:v>CLAN</x:v>
      </x:c>
    </x:row>
    <x:row r="443">
      <x:c r="A443" s="5" t="str">
        <x:v>P5</x:v>
      </x:c>
      <x:c r="B443" s="5" t="str">
        <x:v>PXL_20230427_191608946_transcription.xlsx</x:v>
      </x:c>
      <x:c r="C443" s="5" t="str">
        <x:v>P5_T4_corrected.txt</x:v>
      </x:c>
      <x:c r="D443" s="5" t="str">
        <x:v>basic_ntokens</x:v>
      </x:c>
      <x:c r="E443" s="6" t="n">
        <x:v>173</x:v>
      </x:c>
      <x:c r="F443" s="6" t="n">
        <x:v>196</x:v>
      </x:c>
      <x:c r="G443" s="7" t="n">
        <x:f>IF(OR(E443="",F443="",F443=0),"",ABS(E443-F443)/ABS(F443))</x:f>
        <x:v>0.11734693877551021</x:v>
      </x:c>
      <x:c r="H443" s="5" t="str">
        <x:v>TAALED</x:v>
      </x:c>
    </x:row>
    <x:row r="444">
      <x:c r="A444" s="5" t="str">
        <x:v>P5</x:v>
      </x:c>
      <x:c r="B444" s="5" t="str">
        <x:v>PXL_20230427_191608946_transcription.xlsx</x:v>
      </x:c>
      <x:c r="C444" s="5" t="str">
        <x:v>P5_T4_corrected.txt</x:v>
      </x:c>
      <x:c r="D444" s="5" t="str">
        <x:v>basic_ntypes</x:v>
      </x:c>
      <x:c r="E444" s="6" t="n">
        <x:v>85</x:v>
      </x:c>
      <x:c r="F444" s="6" t="n">
        <x:v>96</x:v>
      </x:c>
      <x:c r="G444" s="7" t="n">
        <x:f>IF(OR(E444="",F444="",F444=0),"",ABS(E444-F444)/ABS(F444))</x:f>
        <x:v>0.11458333333333333</x:v>
      </x:c>
      <x:c r="H444" s="5" t="str">
        <x:v>TAALED</x:v>
      </x:c>
    </x:row>
    <x:row r="445">
      <x:c r="A445" s="5" t="str">
        <x:v>P5</x:v>
      </x:c>
      <x:c r="B445" s="5" t="str">
        <x:v>PXL_20230427_191608946_transcription.xlsx</x:v>
      </x:c>
      <x:c r="C445" s="5" t="str">
        <x:v>P5_T4_corrected.txt</x:v>
      </x:c>
      <x:c r="D445" s="5" t="str">
        <x:v>basic_ncontent_tokens</x:v>
      </x:c>
      <x:c r="E445" s="6" t="n">
        <x:v>74</x:v>
      </x:c>
      <x:c r="F445" s="6" t="n">
        <x:v>87</x:v>
      </x:c>
      <x:c r="G445" s="7" t="n">
        <x:f>IF(OR(E445="",F445="",F445=0),"",ABS(E445-F445)/ABS(F445))</x:f>
        <x:v>0.14942528735632185</x:v>
      </x:c>
      <x:c r="H445" s="5" t="str">
        <x:v>TAALED</x:v>
      </x:c>
    </x:row>
    <x:row r="446">
      <x:c r="A446" s="5" t="str">
        <x:v>P5</x:v>
      </x:c>
      <x:c r="B446" s="5" t="str">
        <x:v>PXL_20230427_191608946_transcription.xlsx</x:v>
      </x:c>
      <x:c r="C446" s="5" t="str">
        <x:v>P5_T4_corrected.txt</x:v>
      </x:c>
      <x:c r="D446" s="5" t="str">
        <x:v>basic_ncontent_types</x:v>
      </x:c>
      <x:c r="E446" s="6" t="n">
        <x:v>52</x:v>
      </x:c>
      <x:c r="F446" s="6" t="n">
        <x:v>62</x:v>
      </x:c>
      <x:c r="G446" s="7" t="n">
        <x:f>IF(OR(E446="",F446="",F446=0),"",ABS(E446-F446)/ABS(F446))</x:f>
        <x:v>0.16129032258064516</x:v>
      </x:c>
      <x:c r="H446" s="5" t="str">
        <x:v>TAALED</x:v>
      </x:c>
    </x:row>
    <x:row r="447">
      <x:c r="A447" s="5" t="str">
        <x:v>P5</x:v>
      </x:c>
      <x:c r="B447" s="5" t="str">
        <x:v>PXL_20230427_191608946_transcription.xlsx</x:v>
      </x:c>
      <x:c r="C447" s="5" t="str">
        <x:v>P5_T4_corrected.txt</x:v>
      </x:c>
      <x:c r="D447" s="5" t="str">
        <x:v>basic_nfunction_tokens</x:v>
      </x:c>
      <x:c r="E447" s="6" t="n">
        <x:v>99</x:v>
      </x:c>
      <x:c r="F447" s="6" t="n">
        <x:v>109</x:v>
      </x:c>
      <x:c r="G447" s="7" t="n">
        <x:f>IF(OR(E447="",F447="",F447=0),"",ABS(E447-F447)/ABS(F447))</x:f>
        <x:v>0.09174311926605505</x:v>
      </x:c>
      <x:c r="H447" s="5" t="str">
        <x:v>TAALED</x:v>
      </x:c>
    </x:row>
    <x:row r="448">
      <x:c r="A448" s="5" t="str">
        <x:v>P5</x:v>
      </x:c>
      <x:c r="B448" s="5" t="str">
        <x:v>PXL_20230427_191608946_transcription.xlsx</x:v>
      </x:c>
      <x:c r="C448" s="5" t="str">
        <x:v>P5_T4_corrected.txt</x:v>
      </x:c>
      <x:c r="D448" s="5" t="str">
        <x:v>basic_nfunction_types</x:v>
      </x:c>
      <x:c r="E448" s="6" t="n">
        <x:v>33</x:v>
      </x:c>
      <x:c r="F448" s="6" t="n">
        <x:v>34</x:v>
      </x:c>
      <x:c r="G448" s="7" t="n">
        <x:f>IF(OR(E448="",F448="",F448=0),"",ABS(E448-F448)/ABS(F448))</x:f>
        <x:v>0.029411764705882353</x:v>
      </x:c>
      <x:c r="H448" s="5" t="str">
        <x:v>TAALED</x:v>
      </x:c>
    </x:row>
    <x:row r="449">
      <x:c r="A449" s="5" t="str">
        <x:v>P5</x:v>
      </x:c>
      <x:c r="B449" s="5" t="str">
        <x:v>PXL_20230427_191608946_transcription.xlsx</x:v>
      </x:c>
      <x:c r="C449" s="5" t="str">
        <x:v>P5_T4_corrected.txt</x:v>
      </x:c>
      <x:c r="D449" s="5" t="str">
        <x:v>lexical_density_tokens</x:v>
      </x:c>
      <x:c r="E449" s="6" t="n">
        <x:v>0.4277456647398844</x:v>
      </x:c>
      <x:c r="F449" s="6" t="n">
        <x:v>0.44387755102040816</x:v>
      </x:c>
      <x:c r="G449" s="7" t="n">
        <x:f>IF(OR(E449="",F449="",F449=0),"",ABS(E449-F449)/ABS(F449))</x:f>
        <x:v>0.036343100126237426</x:v>
      </x:c>
      <x:c r="H449" s="5" t="str">
        <x:v>TAALED</x:v>
      </x:c>
    </x:row>
    <x:row r="450">
      <x:c r="A450" s="5" t="str">
        <x:v>P5</x:v>
      </x:c>
      <x:c r="B450" s="5" t="str">
        <x:v>PXL_20230427_191608946_transcription.xlsx</x:v>
      </x:c>
      <x:c r="C450" s="5" t="str">
        <x:v>P5_T4_corrected.txt</x:v>
      </x:c>
      <x:c r="D450" s="5" t="str">
        <x:v>lexical_density_types</x:v>
      </x:c>
      <x:c r="E450" s="6" t="n">
        <x:v>0.611764705882353</x:v>
      </x:c>
      <x:c r="F450" s="6" t="n">
        <x:v>0.6458333333333334</x:v>
      </x:c>
      <x:c r="G450" s="7" t="n">
        <x:f>IF(OR(E450="",F450="",F450=0),"",ABS(E450-F450)/ABS(F450))</x:f>
        <x:v>0.05275142314990511</x:v>
      </x:c>
      <x:c r="H450" s="5" t="str">
        <x:v>TAALED</x:v>
      </x:c>
    </x:row>
    <x:row r="451">
      <x:c r="A451" s="5" t="str">
        <x:v>P5</x:v>
      </x:c>
      <x:c r="B451" s="5" t="str">
        <x:v>PXL_20230427_191608946_transcription.xlsx</x:v>
      </x:c>
      <x:c r="C451" s="5" t="str">
        <x:v>P5_T4_corrected.txt</x:v>
      </x:c>
      <x:c r="D451" s="5" t="str">
        <x:v>simple_ttr_aw</x:v>
      </x:c>
      <x:c r="E451" s="6" t="n">
        <x:v>0.4913294797687861</x:v>
      </x:c>
      <x:c r="F451" s="6" t="n">
        <x:v>0.4897959183673469</x:v>
      </x:c>
      <x:c r="G451" s="7" t="n">
        <x:f>IF(OR(E451="",F451="",F451=0),"",ABS(E451-F451)/ABS(F451))</x:f>
        <x:v>0.0031310211946049852</x:v>
      </x:c>
      <x:c r="H451" s="5" t="str">
        <x:v>TAALED</x:v>
      </x:c>
    </x:row>
    <x:row r="452">
      <x:c r="A452" s="5" t="str">
        <x:v>P5</x:v>
      </x:c>
      <x:c r="B452" s="5" t="str">
        <x:v>PXL_20230427_191608946_transcription.xlsx</x:v>
      </x:c>
      <x:c r="C452" s="5" t="str">
        <x:v>P5_T4_corrected.txt</x:v>
      </x:c>
      <x:c r="D452" s="5" t="str">
        <x:v>root_ttr_aw</x:v>
      </x:c>
      <x:c r="E452" s="6" t="n">
        <x:v>6.462430330792497</x:v>
      </x:c>
      <x:c r="F452" s="6" t="n">
        <x:v>6.857142857142857</x:v>
      </x:c>
      <x:c r="G452" s="7" t="n">
        <x:f>IF(OR(E452="",F452="",F452=0),"",ABS(E452-F452)/ABS(F452))</x:f>
        <x:v>0.05756224342609416</x:v>
      </x:c>
      <x:c r="H452" s="5" t="str">
        <x:v>TAALED</x:v>
      </x:c>
    </x:row>
    <x:row r="453">
      <x:c r="A453" s="5" t="str">
        <x:v>P5</x:v>
      </x:c>
      <x:c r="B453" s="5" t="str">
        <x:v>PXL_20230427_191608946_transcription.xlsx</x:v>
      </x:c>
      <x:c r="C453" s="5" t="str">
        <x:v>P5_T4_corrected.txt</x:v>
      </x:c>
      <x:c r="D453" s="5" t="str">
        <x:v>log_ttr_aw</x:v>
      </x:c>
      <x:c r="E453" s="6" t="n">
        <x:v>0.8620997230651142</x:v>
      </x:c>
      <x:c r="F453" s="6" t="n">
        <x:v>0.8647686695258835</x:v>
      </x:c>
      <x:c r="G453" s="7" t="n">
        <x:f>IF(OR(E453="",F453="",F453=0),"",ABS(E453-F453)/ABS(F453))</x:f>
        <x:v>0.0030863126230424014</x:v>
      </x:c>
      <x:c r="H453" s="5" t="str">
        <x:v>TAALED</x:v>
      </x:c>
    </x:row>
    <x:row r="454">
      <x:c r="A454" s="5" t="str">
        <x:v>P5</x:v>
      </x:c>
      <x:c r="B454" s="5" t="str">
        <x:v>PXL_20230427_191608946_transcription.xlsx</x:v>
      </x:c>
      <x:c r="C454" s="5" t="str">
        <x:v>P5_T4_corrected.txt</x:v>
      </x:c>
      <x:c r="D454" s="5" t="str">
        <x:v>maas_ttr_aw</x:v>
      </x:c>
      <x:c r="E454" s="6" t="n">
        <x:v>0.06161637007481694</x:v>
      </x:c>
      <x:c r="F454" s="6" t="n">
        <x:v>0.05899486194580842</x:v>
      </x:c>
      <x:c r="G454" s="7" t="n">
        <x:f>IF(OR(E454="",F454="",F454=0),"",ABS(E454-F454)/ABS(F454))</x:f>
        <x:v>0.044436210926581864</x:v>
      </x:c>
      <x:c r="H454" s="5" t="str">
        <x:v>TAALED</x:v>
      </x:c>
    </x:row>
    <x:row r="455">
      <x:c r="A455" s="5" t="str">
        <x:v>P5</x:v>
      </x:c>
      <x:c r="B455" s="5" t="str">
        <x:v>PXL_20230427_191608946_transcription.xlsx</x:v>
      </x:c>
      <x:c r="C455" s="5" t="str">
        <x:v>P5_T4_corrected.txt</x:v>
      </x:c>
      <x:c r="D455" s="5" t="str">
        <x:v>mattr50_aw</x:v>
      </x:c>
      <x:c r="E455" s="6" t="n">
        <x:v>0.672258064516129</x:v>
      </x:c>
      <x:c r="F455" s="6" t="n">
        <x:v>0.6589115646258503</x:v>
      </x:c>
      <x:c r="G455" s="7" t="n">
        <x:f>IF(OR(E455="",F455="",F455=0),"",ABS(E455-F455)/ABS(F455))</x:f>
        <x:v>0.020255373568769032</x:v>
      </x:c>
      <x:c r="H455" s="5" t="str">
        <x:v>TAALED</x:v>
      </x:c>
    </x:row>
    <x:row r="456">
      <x:c r="A456" s="5" t="str">
        <x:v>P5</x:v>
      </x:c>
      <x:c r="B456" s="5" t="str">
        <x:v>PXL_20230427_191608946_transcription.xlsx</x:v>
      </x:c>
      <x:c r="C456" s="5" t="str">
        <x:v>P5_T4_corrected.txt</x:v>
      </x:c>
      <x:c r="D456" s="5" t="str">
        <x:v>msttr50_aw</x:v>
      </x:c>
      <x:c r="E456" s="6" t="n">
        <x:v>0.6533333333333333</x:v>
      </x:c>
      <x:c r="F456" s="6" t="n">
        <x:v>0.6733333333333333</x:v>
      </x:c>
      <x:c r="G456" s="7" t="n">
        <x:f>IF(OR(E456="",F456="",F456=0),"",ABS(E456-F456)/ABS(F456))</x:f>
        <x:v>0.02970297029702973</x:v>
      </x:c>
      <x:c r="H456" s="5" t="str">
        <x:v>TAALED</x:v>
      </x:c>
    </x:row>
    <x:row r="457">
      <x:c r="A457" s="5" t="str">
        <x:v>P5</x:v>
      </x:c>
      <x:c r="B457" s="5" t="str">
        <x:v>PXL_20230427_191608946_transcription.xlsx</x:v>
      </x:c>
      <x:c r="C457" s="5" t="str">
        <x:v>P5_T4_corrected.txt</x:v>
      </x:c>
      <x:c r="D457" s="5" t="str">
        <x:v>hdd42_aw</x:v>
      </x:c>
      <x:c r="E457" s="6" t="n">
        <x:v>0.7218063771167189</x:v>
      </x:c>
      <x:c r="F457" s="6" t="n">
        <x:v>0.7278725342288519</x:v>
      </x:c>
      <x:c r="G457" s="7" t="n">
        <x:f>IF(OR(E457="",F457="",F457=0),"",ABS(E457-F457)/ABS(F457))</x:f>
        <x:v>0.008334092614938143</x:v>
      </x:c>
      <x:c r="H457" s="5" t="str">
        <x:v>TAALED</x:v>
      </x:c>
    </x:row>
    <x:row r="458">
      <x:c r="A458" s="5" t="str">
        <x:v>P5</x:v>
      </x:c>
      <x:c r="B458" s="5" t="str">
        <x:v>PXL_20230427_191608946_transcription.xlsx</x:v>
      </x:c>
      <x:c r="C458" s="5" t="str">
        <x:v>P5_T4_corrected.txt</x:v>
      </x:c>
      <x:c r="D458" s="5" t="str">
        <x:v>mtld_original_aw</x:v>
      </x:c>
      <x:c r="E458" s="6" t="n">
        <x:v>32.758758314855875</x:v>
      </x:c>
      <x:c r="F458" s="6" t="n">
        <x:v>31.398617717925337</x:v>
      </x:c>
      <x:c r="G458" s="7" t="n">
        <x:f>IF(OR(E458="",F458="",F458=0),"",ABS(E458-F458)/ABS(F458))</x:f>
        <x:v>0.04331848647445521</x:v>
      </x:c>
      <x:c r="H458" s="5" t="str">
        <x:v>TAALED</x:v>
      </x:c>
    </x:row>
    <x:row r="459">
      <x:c r="A459" s="5" t="str">
        <x:v>P5</x:v>
      </x:c>
      <x:c r="B459" s="5" t="str">
        <x:v>PXL_20230427_191608946_transcription.xlsx</x:v>
      </x:c>
      <x:c r="C459" s="5" t="str">
        <x:v>P5_T4_corrected.txt</x:v>
      </x:c>
      <x:c r="D459" s="5" t="str">
        <x:v>mtld_mean_factor_length_aw</x:v>
      </x:c>
      <x:c r="E459" s="6" t="n">
        <x:v>34.74</x:v>
      </x:c>
      <x:c r="F459" s="6" t="n">
        <x:v>37.90857142857142</x:v>
      </x:c>
      <x:c r="G459" s="7" t="n">
        <x:f>IF(OR(E459="",F459="",F459=0),"",ABS(E459-F459)/ABS(F459))</x:f>
        <x:v>0.08358456436539016</x:v>
      </x:c>
      <x:c r="H459" s="5" t="str">
        <x:v>TAALED</x:v>
      </x:c>
    </x:row>
    <x:row r="460">
      <x:c r="A460" s="5" t="str">
        <x:v>P5</x:v>
      </x:c>
      <x:c r="B460" s="5" t="str">
        <x:v>PXL_20230427_191608946_transcription.xlsx</x:v>
      </x:c>
      <x:c r="C460" s="5" t="str">
        <x:v>P5_T4_corrected.txt</x:v>
      </x:c>
      <x:c r="D460" s="5" t="str">
        <x:v>total_utterances</x:v>
      </x:c>
      <x:c r="E460" s="6" t="n">
        <x:v>39</x:v>
      </x:c>
      <x:c r="F460" s="6" t="n">
        <x:v>35</x:v>
      </x:c>
      <x:c r="G460" s="7" t="n">
        <x:f>IF(OR(E460="",F460="",F460=0),"",ABS(E460-F460)/ABS(F460))</x:f>
        <x:v>0.11428571428571428</x:v>
      </x:c>
      <x:c r="H460" s="5" t="str">
        <x:v>CLAN</x:v>
      </x:c>
    </x:row>
    <x:row r="461">
      <x:c r="A461" s="5" t="str">
        <x:v>P5</x:v>
      </x:c>
      <x:c r="B461" s="5" t="str">
        <x:v>PXL_20230427_191608946_transcription.xlsx</x:v>
      </x:c>
      <x:c r="C461" s="5" t="str">
        <x:v>P5_T4_corrected.txt</x:v>
      </x:c>
      <x:c r="D461" s="5" t="str">
        <x:v>total_words</x:v>
      </x:c>
      <x:c r="E461" s="6" t="n">
        <x:v>155</x:v>
      </x:c>
      <x:c r="F461" s="6" t="n">
        <x:v>179</x:v>
      </x:c>
      <x:c r="G461" s="7" t="n">
        <x:f>IF(OR(E461="",F461="",F461=0),"",ABS(E461-F461)/ABS(F461))</x:f>
        <x:v>0.1340782122905028</x:v>
      </x:c>
      <x:c r="H461" s="5" t="str">
        <x:v>CLAN</x:v>
      </x:c>
    </x:row>
    <x:row r="462">
      <x:c r="A462" s="5" t="str">
        <x:v>P5</x:v>
      </x:c>
      <x:c r="B462" s="5" t="str">
        <x:v>PXL_20230427_191608946_transcription.xlsx</x:v>
      </x:c>
      <x:c r="C462" s="5" t="str">
        <x:v>P5_T4_corrected.txt</x:v>
      </x:c>
      <x:c r="D462" s="5" t="str">
        <x:v>mlu_words</x:v>
      </x:c>
      <x:c r="E462" s="6" t="n">
        <x:v>3.9743589743589745</x:v>
      </x:c>
      <x:c r="F462" s="6" t="n">
        <x:v>5.114</x:v>
      </x:c>
      <x:c r="G462" s="7" t="n">
        <x:f>IF(OR(E462="",F462="",F462=0),"",ABS(E462-F462)/ABS(F462))</x:f>
        <x:v>0.22284728698494827</x:v>
      </x:c>
      <x:c r="H462" s="5" t="str">
        <x:v>CLAN</x:v>
      </x:c>
    </x:row>
    <x:row r="463">
      <x:c r="A463" s="5" t="str">
        <x:v>P5</x:v>
      </x:c>
      <x:c r="B463" s="5" t="str">
        <x:v>PXL_20230427_191608946_transcription.xlsx</x:v>
      </x:c>
      <x:c r="C463" s="5" t="str">
        <x:v>P5_T4_corrected.txt</x:v>
      </x:c>
      <x:c r="D463" s="5" t="str">
        <x:v>mlu_words_sd</x:v>
      </x:c>
      <x:c r="E463" s="6" t="n">
        <x:v>3.5840614369675534</x:v>
      </x:c>
      <x:c r="F463" s="6" t="n">
        <x:v>4.868</x:v>
      </x:c>
      <x:c r="G463" s="7" t="n">
        <x:f>IF(OR(E463="",F463="",F463=0),"",ABS(E463-F463)/ABS(F463))</x:f>
        <x:v>0.2637507319294262</x:v>
      </x:c>
      <x:c r="H463" s="5" t="str">
        <x:v>CLAN</x:v>
      </x:c>
    </x:row>
    <x:row r="464">
      <x:c r="A464" s="5" t="str">
        <x:v>P6</x:v>
      </x:c>
      <x:c r="B464" s="5" t="str">
        <x:v>PXL_20230501_201946887_transcription.xlsx</x:v>
      </x:c>
      <x:c r="C464" s="5" t="str">
        <x:v>PXL_20230501_201946887_transcription - CORRECTED.txt</x:v>
      </x:c>
      <x:c r="D464" s="5" t="str">
        <x:v>basic_ntokens</x:v>
      </x:c>
      <x:c r="E464" s="6" t="n">
        <x:v>316</x:v>
      </x:c>
      <x:c r="F464" s="6" t="n">
        <x:v>318</x:v>
      </x:c>
      <x:c r="G464" s="7" t="n">
        <x:f>IF(OR(E464="",F464="",F464=0),"",ABS(E464-F464)/ABS(F464))</x:f>
        <x:v>0.006289308176100629</x:v>
      </x:c>
      <x:c r="H464" s="5" t="str">
        <x:v>TAALED</x:v>
      </x:c>
    </x:row>
    <x:row r="465">
      <x:c r="A465" s="5" t="str">
        <x:v>P6</x:v>
      </x:c>
      <x:c r="B465" s="5" t="str">
        <x:v>PXL_20230501_201946887_transcription.xlsx</x:v>
      </x:c>
      <x:c r="C465" s="5" t="str">
        <x:v>PXL_20230501_201946887_transcription - CORRECTED.txt</x:v>
      </x:c>
      <x:c r="D465" s="5" t="str">
        <x:v>basic_ntypes</x:v>
      </x:c>
      <x:c r="E465" s="6" t="n">
        <x:v>132</x:v>
      </x:c>
      <x:c r="F465" s="6" t="n">
        <x:v>136</x:v>
      </x:c>
      <x:c r="G465" s="7" t="n">
        <x:f>IF(OR(E465="",F465="",F465=0),"",ABS(E465-F465)/ABS(F465))</x:f>
        <x:v>0.029411764705882353</x:v>
      </x:c>
      <x:c r="H465" s="5" t="str">
        <x:v>TAALED</x:v>
      </x:c>
    </x:row>
    <x:row r="466">
      <x:c r="A466" s="5" t="str">
        <x:v>P6</x:v>
      </x:c>
      <x:c r="B466" s="5" t="str">
        <x:v>PXL_20230501_201946887_transcription.xlsx</x:v>
      </x:c>
      <x:c r="C466" s="5" t="str">
        <x:v>PXL_20230501_201946887_transcription - CORRECTED.txt</x:v>
      </x:c>
      <x:c r="D466" s="5" t="str">
        <x:v>basic_ncontent_tokens</x:v>
      </x:c>
      <x:c r="E466" s="6" t="n">
        <x:v>134</x:v>
      </x:c>
      <x:c r="F466" s="6" t="n">
        <x:v>133</x:v>
      </x:c>
      <x:c r="G466" s="7" t="n">
        <x:f>IF(OR(E466="",F466="",F466=0),"",ABS(E466-F466)/ABS(F466))</x:f>
        <x:v>0.007518796992481203</x:v>
      </x:c>
      <x:c r="H466" s="5" t="str">
        <x:v>TAALED</x:v>
      </x:c>
    </x:row>
    <x:row r="467">
      <x:c r="A467" s="5" t="str">
        <x:v>P6</x:v>
      </x:c>
      <x:c r="B467" s="5" t="str">
        <x:v>PXL_20230501_201946887_transcription.xlsx</x:v>
      </x:c>
      <x:c r="C467" s="5" t="str">
        <x:v>PXL_20230501_201946887_transcription - CORRECTED.txt</x:v>
      </x:c>
      <x:c r="D467" s="5" t="str">
        <x:v>basic_ncontent_types</x:v>
      </x:c>
      <x:c r="E467" s="6" t="n">
        <x:v>75</x:v>
      </x:c>
      <x:c r="F467" s="6" t="n">
        <x:v>77</x:v>
      </x:c>
      <x:c r="G467" s="7" t="n">
        <x:f>IF(OR(E467="",F467="",F467=0),"",ABS(E467-F467)/ABS(F467))</x:f>
        <x:v>0.025974025974025976</x:v>
      </x:c>
      <x:c r="H467" s="5" t="str">
        <x:v>TAALED</x:v>
      </x:c>
    </x:row>
    <x:row r="468">
      <x:c r="A468" s="5" t="str">
        <x:v>P6</x:v>
      </x:c>
      <x:c r="B468" s="5" t="str">
        <x:v>PXL_20230501_201946887_transcription.xlsx</x:v>
      </x:c>
      <x:c r="C468" s="5" t="str">
        <x:v>PXL_20230501_201946887_transcription - CORRECTED.txt</x:v>
      </x:c>
      <x:c r="D468" s="5" t="str">
        <x:v>basic_nfunction_tokens</x:v>
      </x:c>
      <x:c r="E468" s="6" t="n">
        <x:v>182</x:v>
      </x:c>
      <x:c r="F468" s="6" t="n">
        <x:v>185</x:v>
      </x:c>
      <x:c r="G468" s="7" t="n">
        <x:f>IF(OR(E468="",F468="",F468=0),"",ABS(E468-F468)/ABS(F468))</x:f>
        <x:v>0.016216216216216217</x:v>
      </x:c>
      <x:c r="H468" s="5" t="str">
        <x:v>TAALED</x:v>
      </x:c>
    </x:row>
    <x:row r="469">
      <x:c r="A469" s="5" t="str">
        <x:v>P6</x:v>
      </x:c>
      <x:c r="B469" s="5" t="str">
        <x:v>PXL_20230501_201946887_transcription.xlsx</x:v>
      </x:c>
      <x:c r="C469" s="5" t="str">
        <x:v>PXL_20230501_201946887_transcription - CORRECTED.txt</x:v>
      </x:c>
      <x:c r="D469" s="5" t="str">
        <x:v>basic_nfunction_types</x:v>
      </x:c>
      <x:c r="E469" s="6" t="n">
        <x:v>57</x:v>
      </x:c>
      <x:c r="F469" s="6" t="n">
        <x:v>59</x:v>
      </x:c>
      <x:c r="G469" s="7" t="n">
        <x:f>IF(OR(E469="",F469="",F469=0),"",ABS(E469-F469)/ABS(F469))</x:f>
        <x:v>0.03389830508474576</x:v>
      </x:c>
      <x:c r="H469" s="5" t="str">
        <x:v>TAALED</x:v>
      </x:c>
    </x:row>
    <x:row r="470">
      <x:c r="A470" s="5" t="str">
        <x:v>P6</x:v>
      </x:c>
      <x:c r="B470" s="5" t="str">
        <x:v>PXL_20230501_201946887_transcription.xlsx</x:v>
      </x:c>
      <x:c r="C470" s="5" t="str">
        <x:v>PXL_20230501_201946887_transcription - CORRECTED.txt</x:v>
      </x:c>
      <x:c r="D470" s="5" t="str">
        <x:v>lexical_density_tokens</x:v>
      </x:c>
      <x:c r="E470" s="6" t="n">
        <x:v>0.4240506329113924</x:v>
      </x:c>
      <x:c r="F470" s="6" t="n">
        <x:v>0.41823899371069184</x:v>
      </x:c>
      <x:c r="G470" s="7" t="n">
        <x:f>IF(OR(E470="",F470="",F470=0),"",ABS(E470-F470)/ABS(F470))</x:f>
        <x:v>0.013895498239268975</x:v>
      </x:c>
      <x:c r="H470" s="5" t="str">
        <x:v>TAALED</x:v>
      </x:c>
    </x:row>
    <x:row r="471">
      <x:c r="A471" s="5" t="str">
        <x:v>P6</x:v>
      </x:c>
      <x:c r="B471" s="5" t="str">
        <x:v>PXL_20230501_201946887_transcription.xlsx</x:v>
      </x:c>
      <x:c r="C471" s="5" t="str">
        <x:v>PXL_20230501_201946887_transcription - CORRECTED.txt</x:v>
      </x:c>
      <x:c r="D471" s="5" t="str">
        <x:v>lexical_density_types</x:v>
      </x:c>
      <x:c r="E471" s="6" t="n">
        <x:v>0.5681818181818182</x:v>
      </x:c>
      <x:c r="F471" s="6" t="n">
        <x:v>0.5661764705882353</x:v>
      </x:c>
      <x:c r="G471" s="7" t="n">
        <x:f>IF(OR(E471="",F471="",F471=0),"",ABS(E471-F471)/ABS(F471))</x:f>
        <x:v>0.003541912632821836</x:v>
      </x:c>
      <x:c r="H471" s="5" t="str">
        <x:v>TAALED</x:v>
      </x:c>
    </x:row>
    <x:row r="472">
      <x:c r="A472" s="5" t="str">
        <x:v>P6</x:v>
      </x:c>
      <x:c r="B472" s="5" t="str">
        <x:v>PXL_20230501_201946887_transcription.xlsx</x:v>
      </x:c>
      <x:c r="C472" s="5" t="str">
        <x:v>PXL_20230501_201946887_transcription - CORRECTED.txt</x:v>
      </x:c>
      <x:c r="D472" s="5" t="str">
        <x:v>simple_ttr_aw</x:v>
      </x:c>
      <x:c r="E472" s="6" t="n">
        <x:v>0.4177215189873418</x:v>
      </x:c>
      <x:c r="F472" s="6" t="n">
        <x:v>0.4276729559748428</x:v>
      </x:c>
      <x:c r="G472" s="7" t="n">
        <x:f>IF(OR(E472="",F472="",F472=0),"",ABS(E472-F472)/ABS(F472))</x:f>
        <x:v>0.023268801191362643</x:v>
      </x:c>
      <x:c r="H472" s="5" t="str">
        <x:v>TAALED</x:v>
      </x:c>
    </x:row>
    <x:row r="473">
      <x:c r="A473" s="5" t="str">
        <x:v>P6</x:v>
      </x:c>
      <x:c r="B473" s="5" t="str">
        <x:v>PXL_20230501_201946887_transcription.xlsx</x:v>
      </x:c>
      <x:c r="C473" s="5" t="str">
        <x:v>PXL_20230501_201946887_transcription - CORRECTED.txt</x:v>
      </x:c>
      <x:c r="D473" s="5" t="str">
        <x:v>root_ttr_aw</x:v>
      </x:c>
      <x:c r="E473" s="6" t="n">
        <x:v>7.425580146111758</x:v>
      </x:c>
      <x:c r="F473" s="6" t="n">
        <x:v>7.626501295651803</x:v>
      </x:c>
      <x:c r="G473" s="7" t="n">
        <x:f>IF(OR(E473="",F473="",F473=0),"",ABS(E473-F473)/ABS(F473))</x:f>
        <x:v>0.026345127569125083</x:v>
      </x:c>
      <x:c r="H473" s="5" t="str">
        <x:v>TAALED</x:v>
      </x:c>
    </x:row>
    <x:row r="474">
      <x:c r="A474" s="5" t="str">
        <x:v>P6</x:v>
      </x:c>
      <x:c r="B474" s="5" t="str">
        <x:v>PXL_20230501_201946887_transcription.xlsx</x:v>
      </x:c>
      <x:c r="C474" s="5" t="str">
        <x:v>PXL_20230501_201946887_transcription - CORRECTED.txt</x:v>
      </x:c>
      <x:c r="D474" s="5" t="str">
        <x:v>log_ttr_aw</x:v>
      </x:c>
      <x:c r="E474" s="6" t="n">
        <x:v>0.8483357560837432</x:v>
      </x:c>
      <x:c r="F474" s="6" t="n">
        <x:v>0.8525878301636572</x:v>
      </x:c>
      <x:c r="G474" s="7" t="n">
        <x:f>IF(OR(E474="",F474="",F474=0),"",ABS(E474-F474)/ABS(F474))</x:f>
        <x:v>0.004987256361726174</x:v>
      </x:c>
      <x:c r="H474" s="5" t="str">
        <x:v>TAALED</x:v>
      </x:c>
    </x:row>
    <x:row r="475">
      <x:c r="A475" s="5" t="str">
        <x:v>P6</x:v>
      </x:c>
      <x:c r="B475" s="5" t="str">
        <x:v>PXL_20230501_201946887_transcription.xlsx</x:v>
      </x:c>
      <x:c r="C475" s="5" t="str">
        <x:v>PXL_20230501_201946887_transcription - CORRECTED.txt</x:v>
      </x:c>
      <x:c r="D475" s="5" t="str">
        <x:v>maas_ttr_aw</x:v>
      </x:c>
      <x:c r="E475" s="6" t="n">
        <x:v>0.06067329185755105</x:v>
      </x:c>
      <x:c r="F475" s="6" t="n">
        <x:v>0.05890767753398539</x:v>
      </x:c>
      <x:c r="G475" s="7" t="n">
        <x:f>IF(OR(E475="",F475="",F475=0),"",ABS(E475-F475)/ABS(F475))</x:f>
        <x:v>0.02997256720139798</x:v>
      </x:c>
      <x:c r="H475" s="5" t="str">
        <x:v>TAALED</x:v>
      </x:c>
    </x:row>
    <x:row r="476">
      <x:c r="A476" s="5" t="str">
        <x:v>P6</x:v>
      </x:c>
      <x:c r="B476" s="5" t="str">
        <x:v>PXL_20230501_201946887_transcription.xlsx</x:v>
      </x:c>
      <x:c r="C476" s="5" t="str">
        <x:v>PXL_20230501_201946887_transcription - CORRECTED.txt</x:v>
      </x:c>
      <x:c r="D476" s="5" t="str">
        <x:v>mattr50_aw</x:v>
      </x:c>
      <x:c r="E476" s="6" t="n">
        <x:v>0.6823220973782772</x:v>
      </x:c>
      <x:c r="F476" s="6" t="n">
        <x:v>0.6866171003717472</x:v>
      </x:c>
      <x:c r="G476" s="7" t="n">
        <x:f>IF(OR(E476="",F476="",F476=0),"",ABS(E476-F476)/ABS(F476))</x:f>
        <x:v>0.006255310261198813</x:v>
      </x:c>
      <x:c r="H476" s="5" t="str">
        <x:v>TAALED</x:v>
      </x:c>
    </x:row>
    <x:row r="477">
      <x:c r="A477" s="5" t="str">
        <x:v>P6</x:v>
      </x:c>
      <x:c r="B477" s="5" t="str">
        <x:v>PXL_20230501_201946887_transcription.xlsx</x:v>
      </x:c>
      <x:c r="C477" s="5" t="str">
        <x:v>PXL_20230501_201946887_transcription - CORRECTED.txt</x:v>
      </x:c>
      <x:c r="D477" s="5" t="str">
        <x:v>msttr50_aw</x:v>
      </x:c>
      <x:c r="E477" s="6" t="n">
        <x:v>0.6866666666666666</x:v>
      </x:c>
      <x:c r="F477" s="6" t="n">
        <x:v>0.6933333333333334</x:v>
      </x:c>
      <x:c r="G477" s="7" t="n">
        <x:f>IF(OR(E477="",F477="",F477=0),"",ABS(E477-F477)/ABS(F477))</x:f>
        <x:v>0.009615384615384677</x:v>
      </x:c>
      <x:c r="H477" s="5" t="str">
        <x:v>TAALED</x:v>
      </x:c>
    </x:row>
    <x:row r="478">
      <x:c r="A478" s="5" t="str">
        <x:v>P6</x:v>
      </x:c>
      <x:c r="B478" s="5" t="str">
        <x:v>PXL_20230501_201946887_transcription.xlsx</x:v>
      </x:c>
      <x:c r="C478" s="5" t="str">
        <x:v>PXL_20230501_201946887_transcription - CORRECTED.txt</x:v>
      </x:c>
      <x:c r="D478" s="5" t="str">
        <x:v>hdd42_aw</x:v>
      </x:c>
      <x:c r="E478" s="6" t="n">
        <x:v>0.7859316087153962</x:v>
      </x:c>
      <x:c r="F478" s="6" t="n">
        <x:v>0.7907573469776198</x:v>
      </x:c>
      <x:c r="G478" s="7" t="n">
        <x:f>IF(OR(E478="",F478="",F478=0),"",ABS(E478-F478)/ABS(F478))</x:f>
        <x:v>0.00610267900850768</x:v>
      </x:c>
      <x:c r="H478" s="5" t="str">
        <x:v>TAALED</x:v>
      </x:c>
    </x:row>
    <x:row r="479">
      <x:c r="A479" s="5" t="str">
        <x:v>P6</x:v>
      </x:c>
      <x:c r="B479" s="5" t="str">
        <x:v>PXL_20230501_201946887_transcription.xlsx</x:v>
      </x:c>
      <x:c r="C479" s="5" t="str">
        <x:v>PXL_20230501_201946887_transcription - CORRECTED.txt</x:v>
      </x:c>
      <x:c r="D479" s="5" t="str">
        <x:v>mtld_original_aw</x:v>
      </x:c>
      <x:c r="E479" s="6" t="n">
        <x:v>37.09447120452813</x:v>
      </x:c>
      <x:c r="F479" s="6" t="n">
        <x:v>42.4707448941939</x:v>
      </x:c>
      <x:c r="G479" s="7" t="n">
        <x:f>IF(OR(E479="",F479="",F479=0),"",ABS(E479-F479)/ABS(F479))</x:f>
        <x:v>0.1265876947310323</x:v>
      </x:c>
      <x:c r="H479" s="5" t="str">
        <x:v>TAALED</x:v>
      </x:c>
    </x:row>
    <x:row r="480">
      <x:c r="A480" s="5" t="str">
        <x:v>P6</x:v>
      </x:c>
      <x:c r="B480" s="5" t="str">
        <x:v>PXL_20230501_201946887_transcription.xlsx</x:v>
      </x:c>
      <x:c r="C480" s="5" t="str">
        <x:v>PXL_20230501_201946887_transcription - CORRECTED.txt</x:v>
      </x:c>
      <x:c r="D480" s="5" t="str">
        <x:v>mtld_mean_factor_length_aw</x:v>
      </x:c>
      <x:c r="E480" s="6" t="n">
        <x:v>36.769777777777776</x:v>
      </x:c>
      <x:c r="F480" s="6" t="n">
        <x:v>45.62500000000001</x:v>
      </x:c>
      <x:c r="G480" s="7" t="n">
        <x:f>IF(OR(E480="",F480="",F480=0),"",ABS(E480-F480)/ABS(F480))</x:f>
        <x:v>0.19408706240487078</x:v>
      </x:c>
      <x:c r="H480" s="5" t="str">
        <x:v>TAALED</x:v>
      </x:c>
    </x:row>
    <x:row r="481">
      <x:c r="A481" s="5" t="str">
        <x:v>P6</x:v>
      </x:c>
      <x:c r="B481" s="5" t="str">
        <x:v>PXL_20230501_201946887_transcription.xlsx</x:v>
      </x:c>
      <x:c r="C481" s="5" t="str">
        <x:v>PXL_20230501_201946887_transcription - CORRECTED.txt</x:v>
      </x:c>
      <x:c r="D481" s="5" t="str">
        <x:v>total_utterances</x:v>
      </x:c>
      <x:c r="E481" s="6" t="n">
        <x:v>59</x:v>
      </x:c>
      <x:c r="F481" s="6" t="n">
        <x:v>56</x:v>
      </x:c>
      <x:c r="G481" s="7" t="n">
        <x:f>IF(OR(E481="",F481="",F481=0),"",ABS(E481-F481)/ABS(F481))</x:f>
        <x:v>0.05357142857142857</x:v>
      </x:c>
      <x:c r="H481" s="5" t="str">
        <x:v>CLAN</x:v>
      </x:c>
    </x:row>
    <x:row r="482">
      <x:c r="A482" s="5" t="str">
        <x:v>P6</x:v>
      </x:c>
      <x:c r="B482" s="5" t="str">
        <x:v>PXL_20230501_201946887_transcription.xlsx</x:v>
      </x:c>
      <x:c r="C482" s="5" t="str">
        <x:v>PXL_20230501_201946887_transcription - CORRECTED.txt</x:v>
      </x:c>
      <x:c r="D482" s="5" t="str">
        <x:v>total_words</x:v>
      </x:c>
      <x:c r="E482" s="6" t="n">
        <x:v>296</x:v>
      </x:c>
      <x:c r="F482" s="6" t="n">
        <x:v>299</x:v>
      </x:c>
      <x:c r="G482" s="7" t="n">
        <x:f>IF(OR(E482="",F482="",F482=0),"",ABS(E482-F482)/ABS(F482))</x:f>
        <x:v>0.010033444816053512</x:v>
      </x:c>
      <x:c r="H482" s="5" t="str">
        <x:v>CLAN</x:v>
      </x:c>
    </x:row>
    <x:row r="483">
      <x:c r="A483" s="5" t="str">
        <x:v>P6</x:v>
      </x:c>
      <x:c r="B483" s="5" t="str">
        <x:v>PXL_20230501_201946887_transcription.xlsx</x:v>
      </x:c>
      <x:c r="C483" s="5" t="str">
        <x:v>PXL_20230501_201946887_transcription - CORRECTED.txt</x:v>
      </x:c>
      <x:c r="D483" s="5" t="str">
        <x:v>mlu_words</x:v>
      </x:c>
      <x:c r="E483" s="6" t="n">
        <x:v>5.016949152542373</x:v>
      </x:c>
      <x:c r="F483" s="6" t="n">
        <x:v>5.339</x:v>
      </x:c>
      <x:c r="G483" s="7" t="n">
        <x:f>IF(OR(E483="",F483="",F483=0),"",ABS(E483-F483)/ABS(F483))</x:f>
        <x:v>0.060320443427163806</x:v>
      </x:c>
      <x:c r="H483" s="5" t="str">
        <x:v>CLAN</x:v>
      </x:c>
    </x:row>
    <x:row r="484">
      <x:c r="A484" s="5" t="str">
        <x:v>P6</x:v>
      </x:c>
      <x:c r="B484" s="5" t="str">
        <x:v>PXL_20230501_201946887_transcription.xlsx</x:v>
      </x:c>
      <x:c r="C484" s="5" t="str">
        <x:v>PXL_20230501_201946887_transcription - CORRECTED.txt</x:v>
      </x:c>
      <x:c r="D484" s="5" t="str">
        <x:v>mlu_words_sd</x:v>
      </x:c>
      <x:c r="E484" s="6" t="n">
        <x:v>4.507964798502</x:v>
      </x:c>
      <x:c r="F484" s="6" t="n">
        <x:v>4.922</x:v>
      </x:c>
      <x:c r="G484" s="7" t="n">
        <x:f>IF(OR(E484="",F484="",F484=0),"",ABS(E484-F484)/ABS(F484))</x:f>
        <x:v>0.08411930140146277</x:v>
      </x:c>
      <x:c r="H484" s="5" t="str">
        <x:v>CLAN</x:v>
      </x:c>
    </x:row>
    <x:row r="485">
      <x:c r="A485" s="5" t="str">
        <x:v>P6</x:v>
      </x:c>
      <x:c r="B485" s="5" t="str">
        <x:v>PXL_20230501_203009298_transcription.xlsx</x:v>
      </x:c>
      <x:c r="C485" s="5" t="str">
        <x:v>PXL_20230501_203009298_transcription_corrected.txt</x:v>
      </x:c>
      <x:c r="D485" s="5" t="str">
        <x:v>basic_ntokens</x:v>
      </x:c>
      <x:c r="E485" s="6" t="n">
        <x:v>353</x:v>
      </x:c>
      <x:c r="F485" s="6" t="n">
        <x:v>361</x:v>
      </x:c>
      <x:c r="G485" s="7" t="n">
        <x:f>IF(OR(E485="",F485="",F485=0),"",ABS(E485-F485)/ABS(F485))</x:f>
        <x:v>0.0221606648199446</x:v>
      </x:c>
      <x:c r="H485" s="5" t="str">
        <x:v>TAALED</x:v>
      </x:c>
    </x:row>
    <x:row r="486">
      <x:c r="A486" s="5" t="str">
        <x:v>P6</x:v>
      </x:c>
      <x:c r="B486" s="5" t="str">
        <x:v>PXL_20230501_203009298_transcription.xlsx</x:v>
      </x:c>
      <x:c r="C486" s="5" t="str">
        <x:v>PXL_20230501_203009298_transcription_corrected.txt</x:v>
      </x:c>
      <x:c r="D486" s="5" t="str">
        <x:v>basic_ntypes</x:v>
      </x:c>
      <x:c r="E486" s="6" t="n">
        <x:v>130</x:v>
      </x:c>
      <x:c r="F486" s="6" t="n">
        <x:v>141</x:v>
      </x:c>
      <x:c r="G486" s="7" t="n">
        <x:f>IF(OR(E486="",F486="",F486=0),"",ABS(E486-F486)/ABS(F486))</x:f>
        <x:v>0.07801418439716312</x:v>
      </x:c>
      <x:c r="H486" s="5" t="str">
        <x:v>TAALED</x:v>
      </x:c>
    </x:row>
    <x:row r="487">
      <x:c r="A487" s="5" t="str">
        <x:v>P6</x:v>
      </x:c>
      <x:c r="B487" s="5" t="str">
        <x:v>PXL_20230501_203009298_transcription.xlsx</x:v>
      </x:c>
      <x:c r="C487" s="5" t="str">
        <x:v>PXL_20230501_203009298_transcription_corrected.txt</x:v>
      </x:c>
      <x:c r="D487" s="5" t="str">
        <x:v>basic_ncontent_tokens</x:v>
      </x:c>
      <x:c r="E487" s="6" t="n">
        <x:v>144</x:v>
      </x:c>
      <x:c r="F487" s="6" t="n">
        <x:v>149</x:v>
      </x:c>
      <x:c r="G487" s="7" t="n">
        <x:f>IF(OR(E487="",F487="",F487=0),"",ABS(E487-F487)/ABS(F487))</x:f>
        <x:v>0.03355704697986577</x:v>
      </x:c>
      <x:c r="H487" s="5" t="str">
        <x:v>TAALED</x:v>
      </x:c>
    </x:row>
    <x:row r="488">
      <x:c r="A488" s="5" t="str">
        <x:v>P6</x:v>
      </x:c>
      <x:c r="B488" s="5" t="str">
        <x:v>PXL_20230501_203009298_transcription.xlsx</x:v>
      </x:c>
      <x:c r="C488" s="5" t="str">
        <x:v>PXL_20230501_203009298_transcription_corrected.txt</x:v>
      </x:c>
      <x:c r="D488" s="5" t="str">
        <x:v>basic_ncontent_types</x:v>
      </x:c>
      <x:c r="E488" s="6" t="n">
        <x:v>76</x:v>
      </x:c>
      <x:c r="F488" s="6" t="n">
        <x:v>79</x:v>
      </x:c>
      <x:c r="G488" s="7" t="n">
        <x:f>IF(OR(E488="",F488="",F488=0),"",ABS(E488-F488)/ABS(F488))</x:f>
        <x:v>0.0379746835443038</x:v>
      </x:c>
      <x:c r="H488" s="5" t="str">
        <x:v>TAALED</x:v>
      </x:c>
    </x:row>
    <x:row r="489">
      <x:c r="A489" s="5" t="str">
        <x:v>P6</x:v>
      </x:c>
      <x:c r="B489" s="5" t="str">
        <x:v>PXL_20230501_203009298_transcription.xlsx</x:v>
      </x:c>
      <x:c r="C489" s="5" t="str">
        <x:v>PXL_20230501_203009298_transcription_corrected.txt</x:v>
      </x:c>
      <x:c r="D489" s="5" t="str">
        <x:v>basic_nfunction_tokens</x:v>
      </x:c>
      <x:c r="E489" s="6" t="n">
        <x:v>209</x:v>
      </x:c>
      <x:c r="F489" s="6" t="n">
        <x:v>212</x:v>
      </x:c>
      <x:c r="G489" s="7" t="n">
        <x:f>IF(OR(E489="",F489="",F489=0),"",ABS(E489-F489)/ABS(F489))</x:f>
        <x:v>0.014150943396226415</x:v>
      </x:c>
      <x:c r="H489" s="5" t="str">
        <x:v>TAALED</x:v>
      </x:c>
    </x:row>
    <x:row r="490">
      <x:c r="A490" s="5" t="str">
        <x:v>P6</x:v>
      </x:c>
      <x:c r="B490" s="5" t="str">
        <x:v>PXL_20230501_203009298_transcription.xlsx</x:v>
      </x:c>
      <x:c r="C490" s="5" t="str">
        <x:v>PXL_20230501_203009298_transcription_corrected.txt</x:v>
      </x:c>
      <x:c r="D490" s="5" t="str">
        <x:v>basic_nfunction_types</x:v>
      </x:c>
      <x:c r="E490" s="6" t="n">
        <x:v>54</x:v>
      </x:c>
      <x:c r="F490" s="6" t="n">
        <x:v>62</x:v>
      </x:c>
      <x:c r="G490" s="7" t="n">
        <x:f>IF(OR(E490="",F490="",F490=0),"",ABS(E490-F490)/ABS(F490))</x:f>
        <x:v>0.12903225806451613</x:v>
      </x:c>
      <x:c r="H490" s="5" t="str">
        <x:v>TAALED</x:v>
      </x:c>
    </x:row>
    <x:row r="491">
      <x:c r="A491" s="5" t="str">
        <x:v>P6</x:v>
      </x:c>
      <x:c r="B491" s="5" t="str">
        <x:v>PXL_20230501_203009298_transcription.xlsx</x:v>
      </x:c>
      <x:c r="C491" s="5" t="str">
        <x:v>PXL_20230501_203009298_transcription_corrected.txt</x:v>
      </x:c>
      <x:c r="D491" s="5" t="str">
        <x:v>lexical_density_tokens</x:v>
      </x:c>
      <x:c r="E491" s="6" t="n">
        <x:v>0.40793201133144474</x:v>
      </x:c>
      <x:c r="F491" s="6" t="n">
        <x:v>0.41274238227146814</x:v>
      </x:c>
      <x:c r="G491" s="7" t="n">
        <x:f>IF(OR(E491="",F491="",F491=0),"",ABS(E491-F491)/ABS(F491))</x:f>
        <x:v>0.011654657109721125</x:v>
      </x:c>
      <x:c r="H491" s="5" t="str">
        <x:v>TAALED</x:v>
      </x:c>
    </x:row>
    <x:row r="492">
      <x:c r="A492" s="5" t="str">
        <x:v>P6</x:v>
      </x:c>
      <x:c r="B492" s="5" t="str">
        <x:v>PXL_20230501_203009298_transcription.xlsx</x:v>
      </x:c>
      <x:c r="C492" s="5" t="str">
        <x:v>PXL_20230501_203009298_transcription_corrected.txt</x:v>
      </x:c>
      <x:c r="D492" s="5" t="str">
        <x:v>lexical_density_types</x:v>
      </x:c>
      <x:c r="E492" s="6" t="n">
        <x:v>0.5846153846153846</x:v>
      </x:c>
      <x:c r="F492" s="6" t="n">
        <x:v>0.5602836879432624</x:v>
      </x:c>
      <x:c r="G492" s="7" t="n">
        <x:f>IF(OR(E492="",F492="",F492=0),"",ABS(E492-F492)/ABS(F492))</x:f>
        <x:v>0.043427458617332035</x:v>
      </x:c>
      <x:c r="H492" s="5" t="str">
        <x:v>TAALED</x:v>
      </x:c>
    </x:row>
    <x:row r="493">
      <x:c r="A493" s="5" t="str">
        <x:v>P6</x:v>
      </x:c>
      <x:c r="B493" s="5" t="str">
        <x:v>PXL_20230501_203009298_transcription.xlsx</x:v>
      </x:c>
      <x:c r="C493" s="5" t="str">
        <x:v>PXL_20230501_203009298_transcription_corrected.txt</x:v>
      </x:c>
      <x:c r="D493" s="5" t="str">
        <x:v>simple_ttr_aw</x:v>
      </x:c>
      <x:c r="E493" s="6" t="n">
        <x:v>0.36827195467422097</x:v>
      </x:c>
      <x:c r="F493" s="6" t="n">
        <x:v>0.39058171745152354</x:v>
      </x:c>
      <x:c r="G493" s="7" t="n">
        <x:f>IF(OR(E493="",F493="",F493=0),"",ABS(E493-F493)/ABS(F493))</x:f>
        <x:v>0.057119321720611536</x:v>
      </x:c>
      <x:c r="H493" s="5" t="str">
        <x:v>TAALED</x:v>
      </x:c>
    </x:row>
    <x:row r="494">
      <x:c r="A494" s="5" t="str">
        <x:v>P6</x:v>
      </x:c>
      <x:c r="B494" s="5" t="str">
        <x:v>PXL_20230501_203009298_transcription.xlsx</x:v>
      </x:c>
      <x:c r="C494" s="5" t="str">
        <x:v>PXL_20230501_203009298_transcription_corrected.txt</x:v>
      </x:c>
      <x:c r="D494" s="5" t="str">
        <x:v>root_ttr_aw</x:v>
      </x:c>
      <x:c r="E494" s="6" t="n">
        <x:v>6.919201840360543</x:v>
      </x:c>
      <x:c r="F494" s="6" t="n">
        <x:v>7.421052631578948</x:v>
      </x:c>
      <x:c r="G494" s="7" t="n">
        <x:f>IF(OR(E494="",F494="",F494=0),"",ABS(E494-F494)/ABS(F494))</x:f>
        <x:v>0.06762528392304744</x:v>
      </x:c>
      <x:c r="H494" s="5" t="str">
        <x:v>TAALED</x:v>
      </x:c>
    </x:row>
    <x:row r="495">
      <x:c r="A495" s="5" t="str">
        <x:v>P6</x:v>
      </x:c>
      <x:c r="B495" s="5" t="str">
        <x:v>PXL_20230501_203009298_transcription.xlsx</x:v>
      </x:c>
      <x:c r="C495" s="5" t="str">
        <x:v>PXL_20230501_203009298_transcription_corrected.txt</x:v>
      </x:c>
      <x:c r="D495" s="5" t="str">
        <x:v>log_ttr_aw</x:v>
      </x:c>
      <x:c r="E495" s="6" t="n">
        <x:v>0.8297214615705404</x:v>
      </x:c>
      <x:c r="F495" s="6" t="n">
        <x:v>0.8403570128967562</x:v>
      </x:c>
      <x:c r="G495" s="7" t="n">
        <x:f>IF(OR(E495="",F495="",F495=0),"",ABS(E495-F495)/ABS(F495))</x:f>
        <x:v>0.012655991635691276</x:v>
      </x:c>
      <x:c r="H495" s="5" t="str">
        <x:v>TAALED</x:v>
      </x:c>
    </x:row>
    <x:row r="496">
      <x:c r="A496" s="5" t="str">
        <x:v>P6</x:v>
      </x:c>
      <x:c r="B496" s="5" t="str">
        <x:v>PXL_20230501_203009298_transcription.xlsx</x:v>
      </x:c>
      <x:c r="C496" s="5" t="str">
        <x:v>PXL_20230501_203009298_transcription_corrected.txt</x:v>
      </x:c>
      <x:c r="D496" s="5" t="str">
        <x:v>maas_ttr_aw</x:v>
      </x:c>
      <x:c r="E496" s="6" t="n">
        <x:v>0.06683422127920835</x:v>
      </x:c>
      <x:c r="F496" s="6" t="n">
        <x:v>0.062421324555524266</x:v>
      </x:c>
      <x:c r="G496" s="7" t="n">
        <x:f>IF(OR(E496="",F496="",F496=0),"",ABS(E496-F496)/ABS(F496))</x:f>
        <x:v>0.0706953393749083</x:v>
      </x:c>
      <x:c r="H496" s="5" t="str">
        <x:v>TAALED</x:v>
      </x:c>
    </x:row>
    <x:row r="497">
      <x:c r="A497" s="5" t="str">
        <x:v>P6</x:v>
      </x:c>
      <x:c r="B497" s="5" t="str">
        <x:v>PXL_20230501_203009298_transcription.xlsx</x:v>
      </x:c>
      <x:c r="C497" s="5" t="str">
        <x:v>PXL_20230501_203009298_transcription_corrected.txt</x:v>
      </x:c>
      <x:c r="D497" s="5" t="str">
        <x:v>mattr50_aw</x:v>
      </x:c>
      <x:c r="E497" s="6" t="n">
        <x:v>0.6640789473684211</x:v>
      </x:c>
      <x:c r="F497" s="6" t="n">
        <x:v>0.676923076923077</x:v>
      </x:c>
      <x:c r="G497" s="7" t="n">
        <x:f>IF(OR(E497="",F497="",F497=0),"",ABS(E497-F497)/ABS(F497))</x:f>
        <x:v>0.0189742822966507</x:v>
      </x:c>
      <x:c r="H497" s="5" t="str">
        <x:v>TAALED</x:v>
      </x:c>
    </x:row>
    <x:row r="498">
      <x:c r="A498" s="5" t="str">
        <x:v>P6</x:v>
      </x:c>
      <x:c r="B498" s="5" t="str">
        <x:v>PXL_20230501_203009298_transcription.xlsx</x:v>
      </x:c>
      <x:c r="C498" s="5" t="str">
        <x:v>PXL_20230501_203009298_transcription_corrected.txt</x:v>
      </x:c>
      <x:c r="D498" s="5" t="str">
        <x:v>msttr50_aw</x:v>
      </x:c>
      <x:c r="E498" s="6" t="n">
        <x:v>0.6514285714285715</x:v>
      </x:c>
      <x:c r="F498" s="6" t="n">
        <x:v>0.6628571428571428</x:v>
      </x:c>
      <x:c r="G498" s="7" t="n">
        <x:f>IF(OR(E498="",F498="",F498=0),"",ABS(E498-F498)/ABS(F498))</x:f>
        <x:v>0.0172413793103447</x:v>
      </x:c>
      <x:c r="H498" s="5" t="str">
        <x:v>TAALED</x:v>
      </x:c>
    </x:row>
    <x:row r="499">
      <x:c r="A499" s="5" t="str">
        <x:v>P6</x:v>
      </x:c>
      <x:c r="B499" s="5" t="str">
        <x:v>PXL_20230501_203009298_transcription.xlsx</x:v>
      </x:c>
      <x:c r="C499" s="5" t="str">
        <x:v>PXL_20230501_203009298_transcription_corrected.txt</x:v>
      </x:c>
      <x:c r="D499" s="5" t="str">
        <x:v>hdd42_aw</x:v>
      </x:c>
      <x:c r="E499" s="6" t="n">
        <x:v>0.7657474091232018</x:v>
      </x:c>
      <x:c r="F499" s="6" t="n">
        <x:v>0.7865832923003239</x:v>
      </x:c>
      <x:c r="G499" s="7" t="n">
        <x:f>IF(OR(E499="",F499="",F499=0),"",ABS(E499-F499)/ABS(F499))</x:f>
        <x:v>0.02648909960468208</x:v>
      </x:c>
      <x:c r="H499" s="5" t="str">
        <x:v>TAALED</x:v>
      </x:c>
    </x:row>
    <x:row r="500">
      <x:c r="A500" s="5" t="str">
        <x:v>P6</x:v>
      </x:c>
      <x:c r="B500" s="5" t="str">
        <x:v>PXL_20230501_203009298_transcription.xlsx</x:v>
      </x:c>
      <x:c r="C500" s="5" t="str">
        <x:v>PXL_20230501_203009298_transcription_corrected.txt</x:v>
      </x:c>
      <x:c r="D500" s="5" t="str">
        <x:v>mtld_original_aw</x:v>
      </x:c>
      <x:c r="E500" s="6" t="n">
        <x:v>33.695454545454545</x:v>
      </x:c>
      <x:c r="F500" s="6" t="n">
        <x:v>37.38874113475177</x:v>
      </x:c>
      <x:c r="G500" s="7" t="n">
        <x:f>IF(OR(E500="",F500="",F500=0),"",ABS(E500-F500)/ABS(F500))</x:f>
        <x:v>0.09878071518873414</x:v>
      </x:c>
      <x:c r="H500" s="5" t="str">
        <x:v>TAALED</x:v>
      </x:c>
    </x:row>
    <x:row r="501">
      <x:c r="A501" s="5" t="str">
        <x:v>P6</x:v>
      </x:c>
      <x:c r="B501" s="5" t="str">
        <x:v>PXL_20230501_203009298_transcription.xlsx</x:v>
      </x:c>
      <x:c r="C501" s="5" t="str">
        <x:v>PXL_20230501_203009298_transcription_corrected.txt</x:v>
      </x:c>
      <x:c r="D501" s="5" t="str">
        <x:v>mtld_mean_factor_length_aw</x:v>
      </x:c>
      <x:c r="E501" s="6" t="n">
        <x:v>33.19047619047619</x:v>
      </x:c>
      <x:c r="F501" s="6" t="n">
        <x:v>37.586666666666666</x:v>
      </x:c>
      <x:c r="G501" s="7" t="n">
        <x:f>IF(OR(E501="",F501="",F501=0),"",ABS(E501-F501)/ABS(F501))</x:f>
        <x:v>0.1169614351593777</x:v>
      </x:c>
      <x:c r="H501" s="5" t="str">
        <x:v>TAALED</x:v>
      </x:c>
    </x:row>
    <x:row r="502">
      <x:c r="A502" s="5" t="str">
        <x:v>P6</x:v>
      </x:c>
      <x:c r="B502" s="5" t="str">
        <x:v>PXL_20230501_203009298_transcription.xlsx</x:v>
      </x:c>
      <x:c r="C502" s="5" t="str">
        <x:v>PXL_20230501_203009298_transcription_corrected.txt</x:v>
      </x:c>
      <x:c r="D502" s="5" t="str">
        <x:v>total_utterances</x:v>
      </x:c>
      <x:c r="E502" s="6" t="n">
        <x:v>57</x:v>
      </x:c>
      <x:c r="F502" s="6" t="n">
        <x:v>58</x:v>
      </x:c>
      <x:c r="G502" s="7" t="n">
        <x:f>IF(OR(E502="",F502="",F502=0),"",ABS(E502-F502)/ABS(F502))</x:f>
        <x:v>0.017241379310344827</x:v>
      </x:c>
      <x:c r="H502" s="5" t="str">
        <x:v>CLAN</x:v>
      </x:c>
    </x:row>
    <x:row r="503">
      <x:c r="A503" s="5" t="str">
        <x:v>P6</x:v>
      </x:c>
      <x:c r="B503" s="5" t="str">
        <x:v>PXL_20230501_203009298_transcription.xlsx</x:v>
      </x:c>
      <x:c r="C503" s="5" t="str">
        <x:v>PXL_20230501_203009298_transcription_corrected.txt</x:v>
      </x:c>
      <x:c r="D503" s="5" t="str">
        <x:v>total_words</x:v>
      </x:c>
      <x:c r="E503" s="6" t="n">
        <x:v>334</x:v>
      </x:c>
      <x:c r="F503" s="6" t="n">
        <x:v>339</x:v>
      </x:c>
      <x:c r="G503" s="7" t="n">
        <x:f>IF(OR(E503="",F503="",F503=0),"",ABS(E503-F503)/ABS(F503))</x:f>
        <x:v>0.014749262536873156</x:v>
      </x:c>
      <x:c r="H503" s="5" t="str">
        <x:v>CLAN</x:v>
      </x:c>
    </x:row>
    <x:row r="504">
      <x:c r="A504" s="5" t="str">
        <x:v>P6</x:v>
      </x:c>
      <x:c r="B504" s="5" t="str">
        <x:v>PXL_20230501_203009298_transcription.xlsx</x:v>
      </x:c>
      <x:c r="C504" s="5" t="str">
        <x:v>PXL_20230501_203009298_transcription_corrected.txt</x:v>
      </x:c>
      <x:c r="D504" s="5" t="str">
        <x:v>mlu_words</x:v>
      </x:c>
      <x:c r="E504" s="6" t="n">
        <x:v>5.859649122807017</x:v>
      </x:c>
      <x:c r="F504" s="6" t="n">
        <x:v>5.845</x:v>
      </x:c>
      <x:c r="G504" s="7" t="n">
        <x:f>IF(OR(E504="",F504="",F504=0),"",ABS(E504-F504)/ABS(F504))</x:f>
        <x:v>0.002506265664160369</x:v>
      </x:c>
      <x:c r="H504" s="5" t="str">
        <x:v>CLAN</x:v>
      </x:c>
    </x:row>
    <x:row r="505">
      <x:c r="A505" s="5" t="str">
        <x:v>P6</x:v>
      </x:c>
      <x:c r="B505" s="5" t="str">
        <x:v>PXL_20230501_203009298_transcription.xlsx</x:v>
      </x:c>
      <x:c r="C505" s="5" t="str">
        <x:v>PXL_20230501_203009298_transcription_corrected.txt</x:v>
      </x:c>
      <x:c r="D505" s="5" t="str">
        <x:v>mlu_words_sd</x:v>
      </x:c>
      <x:c r="E505" s="6" t="n">
        <x:v>4.135590483693353</x:v>
      </x:c>
      <x:c r="F505" s="6" t="n">
        <x:v>4.529</x:v>
      </x:c>
      <x:c r="G505" s="7" t="n">
        <x:f>IF(OR(E505="",F505="",F505=0),"",ABS(E505-F505)/ABS(F505))</x:f>
        <x:v>0.08686454323396939</x:v>
      </x:c>
      <x:c r="H505" s="5" t="str">
        <x:v>CLAN</x:v>
      </x:c>
    </x:row>
    <x:row r="506">
      <x:c r="A506" s="5" t="str">
        <x:v>P6</x:v>
      </x:c>
      <x:c r="B506" s="5" t="str">
        <x:v>PXL_20230501_203857496_transcription.xlsx</x:v>
      </x:c>
      <x:c r="C506" s="5" t="str">
        <x:v>PXL_20230501_203857496_transcription_corrected.txt</x:v>
      </x:c>
      <x:c r="D506" s="5" t="str">
        <x:v>basic_ntokens</x:v>
      </x:c>
      <x:c r="E506" s="6" t="n">
        <x:v>366</x:v>
      </x:c>
      <x:c r="F506" s="6" t="n">
        <x:v>394</x:v>
      </x:c>
      <x:c r="G506" s="7" t="n">
        <x:f>IF(OR(E506="",F506="",F506=0),"",ABS(E506-F506)/ABS(F506))</x:f>
        <x:v>0.07106598984771574</x:v>
      </x:c>
      <x:c r="H506" s="5" t="str">
        <x:v>TAALED</x:v>
      </x:c>
    </x:row>
    <x:row r="507">
      <x:c r="A507" s="5" t="str">
        <x:v>P6</x:v>
      </x:c>
      <x:c r="B507" s="5" t="str">
        <x:v>PXL_20230501_203857496_transcription.xlsx</x:v>
      </x:c>
      <x:c r="C507" s="5" t="str">
        <x:v>PXL_20230501_203857496_transcription_corrected.txt</x:v>
      </x:c>
      <x:c r="D507" s="5" t="str">
        <x:v>basic_ntypes</x:v>
      </x:c>
      <x:c r="E507" s="6" t="n">
        <x:v>153</x:v>
      </x:c>
      <x:c r="F507" s="6" t="n">
        <x:v>163</x:v>
      </x:c>
      <x:c r="G507" s="7" t="n">
        <x:f>IF(OR(E507="",F507="",F507=0),"",ABS(E507-F507)/ABS(F507))</x:f>
        <x:v>0.06134969325153374</x:v>
      </x:c>
      <x:c r="H507" s="5" t="str">
        <x:v>TAALED</x:v>
      </x:c>
    </x:row>
    <x:row r="508">
      <x:c r="A508" s="5" t="str">
        <x:v>P6</x:v>
      </x:c>
      <x:c r="B508" s="5" t="str">
        <x:v>PXL_20230501_203857496_transcription.xlsx</x:v>
      </x:c>
      <x:c r="C508" s="5" t="str">
        <x:v>PXL_20230501_203857496_transcription_corrected.txt</x:v>
      </x:c>
      <x:c r="D508" s="5" t="str">
        <x:v>basic_ncontent_tokens</x:v>
      </x:c>
      <x:c r="E508" s="6" t="n">
        <x:v>155</x:v>
      </x:c>
      <x:c r="F508" s="6" t="n">
        <x:v>170</x:v>
      </x:c>
      <x:c r="G508" s="7" t="n">
        <x:f>IF(OR(E508="",F508="",F508=0),"",ABS(E508-F508)/ABS(F508))</x:f>
        <x:v>0.08823529411764706</x:v>
      </x:c>
      <x:c r="H508" s="5" t="str">
        <x:v>TAALED</x:v>
      </x:c>
    </x:row>
    <x:row r="509">
      <x:c r="A509" s="5" t="str">
        <x:v>P6</x:v>
      </x:c>
      <x:c r="B509" s="5" t="str">
        <x:v>PXL_20230501_203857496_transcription.xlsx</x:v>
      </x:c>
      <x:c r="C509" s="5" t="str">
        <x:v>PXL_20230501_203857496_transcription_corrected.txt</x:v>
      </x:c>
      <x:c r="D509" s="5" t="str">
        <x:v>basic_ncontent_types</x:v>
      </x:c>
      <x:c r="E509" s="6" t="n">
        <x:v>98</x:v>
      </x:c>
      <x:c r="F509" s="6" t="n">
        <x:v>104</x:v>
      </x:c>
      <x:c r="G509" s="7" t="n">
        <x:f>IF(OR(E509="",F509="",F509=0),"",ABS(E509-F509)/ABS(F509))</x:f>
        <x:v>0.057692307692307696</x:v>
      </x:c>
      <x:c r="H509" s="5" t="str">
        <x:v>TAALED</x:v>
      </x:c>
    </x:row>
    <x:row r="510">
      <x:c r="A510" s="5" t="str">
        <x:v>P6</x:v>
      </x:c>
      <x:c r="B510" s="5" t="str">
        <x:v>PXL_20230501_203857496_transcription.xlsx</x:v>
      </x:c>
      <x:c r="C510" s="5" t="str">
        <x:v>PXL_20230501_203857496_transcription_corrected.txt</x:v>
      </x:c>
      <x:c r="D510" s="5" t="str">
        <x:v>basic_nfunction_tokens</x:v>
      </x:c>
      <x:c r="E510" s="6" t="n">
        <x:v>211</x:v>
      </x:c>
      <x:c r="F510" s="6" t="n">
        <x:v>224</x:v>
      </x:c>
      <x:c r="G510" s="7" t="n">
        <x:f>IF(OR(E510="",F510="",F510=0),"",ABS(E510-F510)/ABS(F510))</x:f>
        <x:v>0.05803571428571429</x:v>
      </x:c>
      <x:c r="H510" s="5" t="str">
        <x:v>TAALED</x:v>
      </x:c>
    </x:row>
    <x:row r="511">
      <x:c r="A511" s="5" t="str">
        <x:v>P6</x:v>
      </x:c>
      <x:c r="B511" s="5" t="str">
        <x:v>PXL_20230501_203857496_transcription.xlsx</x:v>
      </x:c>
      <x:c r="C511" s="5" t="str">
        <x:v>PXL_20230501_203857496_transcription_corrected.txt</x:v>
      </x:c>
      <x:c r="D511" s="5" t="str">
        <x:v>basic_nfunction_types</x:v>
      </x:c>
      <x:c r="E511" s="6" t="n">
        <x:v>55</x:v>
      </x:c>
      <x:c r="F511" s="6" t="n">
        <x:v>59</x:v>
      </x:c>
      <x:c r="G511" s="7" t="n">
        <x:f>IF(OR(E511="",F511="",F511=0),"",ABS(E511-F511)/ABS(F511))</x:f>
        <x:v>0.06779661016949153</x:v>
      </x:c>
      <x:c r="H511" s="5" t="str">
        <x:v>TAALED</x:v>
      </x:c>
    </x:row>
    <x:row r="512">
      <x:c r="A512" s="5" t="str">
        <x:v>P6</x:v>
      </x:c>
      <x:c r="B512" s="5" t="str">
        <x:v>PXL_20230501_203857496_transcription.xlsx</x:v>
      </x:c>
      <x:c r="C512" s="5" t="str">
        <x:v>PXL_20230501_203857496_transcription_corrected.txt</x:v>
      </x:c>
      <x:c r="D512" s="5" t="str">
        <x:v>lexical_density_tokens</x:v>
      </x:c>
      <x:c r="E512" s="6" t="n">
        <x:v>0.42349726775956287</x:v>
      </x:c>
      <x:c r="F512" s="6" t="n">
        <x:v>0.43147208121827413</x:v>
      </x:c>
      <x:c r="G512" s="7" t="n">
        <x:f>IF(OR(E512="",F512="",F512=0),"",ABS(E512-F512)/ABS(F512))</x:f>
        <x:v>0.01848280295724845</x:v>
      </x:c>
      <x:c r="H512" s="5" t="str">
        <x:v>TAALED</x:v>
      </x:c>
    </x:row>
    <x:row r="513">
      <x:c r="A513" s="5" t="str">
        <x:v>P6</x:v>
      </x:c>
      <x:c r="B513" s="5" t="str">
        <x:v>PXL_20230501_203857496_transcription.xlsx</x:v>
      </x:c>
      <x:c r="C513" s="5" t="str">
        <x:v>PXL_20230501_203857496_transcription_corrected.txt</x:v>
      </x:c>
      <x:c r="D513" s="5" t="str">
        <x:v>lexical_density_types</x:v>
      </x:c>
      <x:c r="E513" s="6" t="n">
        <x:v>0.6405228758169934</x:v>
      </x:c>
      <x:c r="F513" s="6" t="n">
        <x:v>0.6380368098159509</x:v>
      </x:c>
      <x:c r="G513" s="7" t="n">
        <x:f>IF(OR(E513="",F513="",F513=0),"",ABS(E513-F513)/ABS(F513))</x:f>
        <x:v>0.003896430367018547</x:v>
      </x:c>
      <x:c r="H513" s="5" t="str">
        <x:v>TAALED</x:v>
      </x:c>
    </x:row>
    <x:row r="514">
      <x:c r="A514" s="5" t="str">
        <x:v>P6</x:v>
      </x:c>
      <x:c r="B514" s="5" t="str">
        <x:v>PXL_20230501_203857496_transcription.xlsx</x:v>
      </x:c>
      <x:c r="C514" s="5" t="str">
        <x:v>PXL_20230501_203857496_transcription_corrected.txt</x:v>
      </x:c>
      <x:c r="D514" s="5" t="str">
        <x:v>simple_ttr_aw</x:v>
      </x:c>
      <x:c r="E514" s="6" t="n">
        <x:v>0.4180327868852459</x:v>
      </x:c>
      <x:c r="F514" s="6" t="n">
        <x:v>0.4137055837563452</x:v>
      </x:c>
      <x:c r="G514" s="7" t="n">
        <x:f>IF(OR(E514="",F514="",F514=0),"",ABS(E514-F514)/ABS(F514))</x:f>
        <x:v>0.010459619833048378</x:v>
      </x:c>
      <x:c r="H514" s="5" t="str">
        <x:v>TAALED</x:v>
      </x:c>
    </x:row>
    <x:row r="515">
      <x:c r="A515" s="5" t="str">
        <x:v>P6</x:v>
      </x:c>
      <x:c r="B515" s="5" t="str">
        <x:v>PXL_20230501_203857496_transcription.xlsx</x:v>
      </x:c>
      <x:c r="C515" s="5" t="str">
        <x:v>PXL_20230501_203857496_transcription_corrected.txt</x:v>
      </x:c>
      <x:c r="D515" s="5" t="str">
        <x:v>root_ttr_aw</x:v>
      </x:c>
      <x:c r="E515" s="6" t="n">
        <x:v>7.997438114386545</x:v>
      </x:c>
      <x:c r="F515" s="6" t="n">
        <x:v>8.211821366316018</x:v>
      </x:c>
      <x:c r="G515" s="7" t="n">
        <x:f>IF(OR(E515="",F515="",F515=0),"",ABS(E515-F515)/ABS(F515))</x:f>
        <x:v>0.026106662866395142</x:v>
      </x:c>
      <x:c r="H515" s="5" t="str">
        <x:v>TAALED</x:v>
      </x:c>
    </x:row>
    <x:row r="516">
      <x:c r="A516" s="5" t="str">
        <x:v>P6</x:v>
      </x:c>
      <x:c r="B516" s="5" t="str">
        <x:v>PXL_20230501_203857496_transcription.xlsx</x:v>
      </x:c>
      <x:c r="C516" s="5" t="str">
        <x:v>PXL_20230501_203857496_transcription_corrected.txt</x:v>
      </x:c>
      <x:c r="D516" s="5" t="str">
        <x:v>log_ttr_aw</x:v>
      </x:c>
      <x:c r="E516" s="6" t="n">
        <x:v>0.8522362202182849</x:v>
      </x:c>
      <x:c r="F516" s="6" t="n">
        <x:v>0.8523177902559181</x:v>
      </x:c>
      <x:c r="G516" s="7" t="n">
        <x:f>IF(OR(E516="",F516="",F516=0),"",ABS(E516-F516)/ABS(F516))</x:f>
        <x:v>0.00009570378392396668</x:v>
      </x:c>
      <x:c r="H516" s="5" t="str">
        <x:v>TAALED</x:v>
      </x:c>
    </x:row>
    <x:row r="517">
      <x:c r="A517" s="5" t="str">
        <x:v>P6</x:v>
      </x:c>
      <x:c r="B517" s="5" t="str">
        <x:v>PXL_20230501_203857496_transcription.xlsx</x:v>
      </x:c>
      <x:c r="C517" s="5" t="str">
        <x:v>PXL_20230501_203857496_transcription_corrected.txt</x:v>
      </x:c>
      <x:c r="D517" s="5" t="str">
        <x:v>maas_ttr_aw</x:v>
      </x:c>
      <x:c r="E517" s="6" t="n">
        <x:v>0.057641845154859234</x:v>
      </x:c>
      <x:c r="F517" s="6" t="n">
        <x:v>0.056899412336731424</x:v>
      </x:c>
      <x:c r="G517" s="7" t="n">
        <x:f>IF(OR(E517="",F517="",F517=0),"",ABS(E517-F517)/ABS(F517))</x:f>
        <x:v>0.01304816319954384</x:v>
      </x:c>
      <x:c r="H517" s="5" t="str">
        <x:v>TAALED</x:v>
      </x:c>
    </x:row>
    <x:row r="518">
      <x:c r="A518" s="5" t="str">
        <x:v>P6</x:v>
      </x:c>
      <x:c r="B518" s="5" t="str">
        <x:v>PXL_20230501_203857496_transcription.xlsx</x:v>
      </x:c>
      <x:c r="C518" s="5" t="str">
        <x:v>PXL_20230501_203857496_transcription_corrected.txt</x:v>
      </x:c>
      <x:c r="D518" s="5" t="str">
        <x:v>mattr50_aw</x:v>
      </x:c>
      <x:c r="E518" s="6" t="n">
        <x:v>0.6905362776025237</x:v>
      </x:c>
      <x:c r="F518" s="6" t="n">
        <x:v>0.7055072463768116</x:v>
      </x:c>
      <x:c r="G518" s="7" t="n">
        <x:f>IF(OR(E518="",F518="",F518=0),"",ABS(E518-F518)/ABS(F518))</x:f>
        <x:v>0.021220148837836232</x:v>
      </x:c>
      <x:c r="H518" s="5" t="str">
        <x:v>TAALED</x:v>
      </x:c>
    </x:row>
    <x:row r="519">
      <x:c r="A519" s="5" t="str">
        <x:v>P6</x:v>
      </x:c>
      <x:c r="B519" s="5" t="str">
        <x:v>PXL_20230501_203857496_transcription.xlsx</x:v>
      </x:c>
      <x:c r="C519" s="5" t="str">
        <x:v>PXL_20230501_203857496_transcription_corrected.txt</x:v>
      </x:c>
      <x:c r="D519" s="5" t="str">
        <x:v>msttr50_aw</x:v>
      </x:c>
      <x:c r="E519" s="6" t="n">
        <x:v>0.6971428571428572</x:v>
      </x:c>
      <x:c r="F519" s="6" t="n">
        <x:v>0.7142857142857142</x:v>
      </x:c>
      <x:c r="G519" s="7" t="n">
        <x:f>IF(OR(E519="",F519="",F519=0),"",ABS(E519-F519)/ABS(F519))</x:f>
        <x:v>0.023999999999999824</x:v>
      </x:c>
      <x:c r="H519" s="5" t="str">
        <x:v>TAALED</x:v>
      </x:c>
    </x:row>
    <x:row r="520">
      <x:c r="A520" s="5" t="str">
        <x:v>P6</x:v>
      </x:c>
      <x:c r="B520" s="5" t="str">
        <x:v>PXL_20230501_203857496_transcription.xlsx</x:v>
      </x:c>
      <x:c r="C520" s="5" t="str">
        <x:v>PXL_20230501_203857496_transcription_corrected.txt</x:v>
      </x:c>
      <x:c r="D520" s="5" t="str">
        <x:v>hdd42_aw</x:v>
      </x:c>
      <x:c r="E520" s="6" t="n">
        <x:v>0.7847907753960544</x:v>
      </x:c>
      <x:c r="F520" s="6" t="n">
        <x:v>0.7995638739847444</x:v>
      </x:c>
      <x:c r="G520" s="7" t="n">
        <x:f>IF(OR(E520="",F520="",F520=0),"",ABS(E520-F520)/ABS(F520))</x:f>
        <x:v>0.01847644580922111</x:v>
      </x:c>
      <x:c r="H520" s="5" t="str">
        <x:v>TAALED</x:v>
      </x:c>
    </x:row>
    <x:row r="521">
      <x:c r="A521" s="5" t="str">
        <x:v>P6</x:v>
      </x:c>
      <x:c r="B521" s="5" t="str">
        <x:v>PXL_20230501_203857496_transcription.xlsx</x:v>
      </x:c>
      <x:c r="C521" s="5" t="str">
        <x:v>PXL_20230501_203857496_transcription_corrected.txt</x:v>
      </x:c>
      <x:c r="D521" s="5" t="str">
        <x:v>mtld_original_aw</x:v>
      </x:c>
      <x:c r="E521" s="6" t="n">
        <x:v>39.25883615248675</x:v>
      </x:c>
      <x:c r="F521" s="6" t="n">
        <x:v>45.64849836369429</x:v>
      </x:c>
      <x:c r="G521" s="7" t="n">
        <x:f>IF(OR(E521="",F521="",F521=0),"",ABS(E521-F521)/ABS(F521))</x:f>
        <x:v>0.13997529908430545</x:v>
      </x:c>
      <x:c r="H521" s="5" t="str">
        <x:v>TAALED</x:v>
      </x:c>
    </x:row>
    <x:row r="522">
      <x:c r="A522" s="5" t="str">
        <x:v>P6</x:v>
      </x:c>
      <x:c r="B522" s="5" t="str">
        <x:v>PXL_20230501_203857496_transcription.xlsx</x:v>
      </x:c>
      <x:c r="C522" s="5" t="str">
        <x:v>PXL_20230501_203857496_transcription_corrected.txt</x:v>
      </x:c>
      <x:c r="D522" s="5" t="str">
        <x:v>mtld_mean_factor_length_aw</x:v>
      </x:c>
      <x:c r="E522" s="6" t="n">
        <x:v>38.846315789473685</x:v>
      </x:c>
      <x:c r="F522" s="6" t="n">
        <x:v>44.791111111111114</x:v>
      </x:c>
      <x:c r="G522" s="7" t="n">
        <x:f>IF(OR(E522="",F522="",F522=0),"",ABS(E522-F522)/ABS(F522))</x:f>
        <x:v>0.13272265800440775</x:v>
      </x:c>
      <x:c r="H522" s="5" t="str">
        <x:v>TAALED</x:v>
      </x:c>
    </x:row>
    <x:row r="523">
      <x:c r="A523" s="5" t="str">
        <x:v>P6</x:v>
      </x:c>
      <x:c r="B523" s="5" t="str">
        <x:v>PXL_20230501_203857496_transcription.xlsx</x:v>
      </x:c>
      <x:c r="C523" s="5" t="str">
        <x:v>PXL_20230501_203857496_transcription_corrected.txt</x:v>
      </x:c>
      <x:c r="D523" s="5" t="str">
        <x:v>total_utterances</x:v>
      </x:c>
      <x:c r="E523" s="6" t="n">
        <x:v>53</x:v>
      </x:c>
      <x:c r="F523" s="6" t="n">
        <x:v>56</x:v>
      </x:c>
      <x:c r="G523" s="7" t="n">
        <x:f>IF(OR(E523="",F523="",F523=0),"",ABS(E523-F523)/ABS(F523))</x:f>
        <x:v>0.05357142857142857</x:v>
      </x:c>
      <x:c r="H523" s="5" t="str">
        <x:v>CLAN</x:v>
      </x:c>
    </x:row>
    <x:row r="524">
      <x:c r="A524" s="5" t="str">
        <x:v>P6</x:v>
      </x:c>
      <x:c r="B524" s="5" t="str">
        <x:v>PXL_20230501_203857496_transcription.xlsx</x:v>
      </x:c>
      <x:c r="C524" s="5" t="str">
        <x:v>PXL_20230501_203857496_transcription_corrected.txt</x:v>
      </x:c>
      <x:c r="D524" s="5" t="str">
        <x:v>total_words</x:v>
      </x:c>
      <x:c r="E524" s="6" t="n">
        <x:v>364</x:v>
      </x:c>
      <x:c r="F524" s="6" t="n">
        <x:v>388</x:v>
      </x:c>
      <x:c r="G524" s="7" t="n">
        <x:f>IF(OR(E524="",F524="",F524=0),"",ABS(E524-F524)/ABS(F524))</x:f>
        <x:v>0.061855670103092786</x:v>
      </x:c>
      <x:c r="H524" s="5" t="str">
        <x:v>CLAN</x:v>
      </x:c>
    </x:row>
    <x:row r="525">
      <x:c r="A525" s="5" t="str">
        <x:v>P6</x:v>
      </x:c>
      <x:c r="B525" s="5" t="str">
        <x:v>PXL_20230501_203857496_transcription.xlsx</x:v>
      </x:c>
      <x:c r="C525" s="5" t="str">
        <x:v>PXL_20230501_203857496_transcription_corrected.txt</x:v>
      </x:c>
      <x:c r="D525" s="5" t="str">
        <x:v>mlu_words</x:v>
      </x:c>
      <x:c r="E525" s="6" t="n">
        <x:v>6.867924528301887</x:v>
      </x:c>
      <x:c r="F525" s="6" t="n">
        <x:v>6.929</x:v>
      </x:c>
      <x:c r="G525" s="7" t="n">
        <x:f>IF(OR(E525="",F525="",F525=0),"",ABS(E525-F525)/ABS(F525))</x:f>
        <x:v>0.008814471308718895</x:v>
      </x:c>
      <x:c r="H525" s="5" t="str">
        <x:v>CLAN</x:v>
      </x:c>
    </x:row>
    <x:row r="526">
      <x:c r="A526" s="5" t="str">
        <x:v>P6</x:v>
      </x:c>
      <x:c r="B526" s="5" t="str">
        <x:v>PXL_20230501_203857496_transcription.xlsx</x:v>
      </x:c>
      <x:c r="C526" s="5" t="str">
        <x:v>PXL_20230501_203857496_transcription_corrected.txt</x:v>
      </x:c>
      <x:c r="D526" s="5" t="str">
        <x:v>mlu_words_sd</x:v>
      </x:c>
      <x:c r="E526" s="6" t="n">
        <x:v>5.805130248482905</x:v>
      </x:c>
      <x:c r="F526" s="6" t="n">
        <x:v>7.302</x:v>
      </x:c>
      <x:c r="G526" s="7" t="n">
        <x:f>IF(OR(E526="",F526="",F526=0),"",ABS(E526-F526)/ABS(F526))</x:f>
        <x:v>0.2049944880193228</x:v>
      </x:c>
      <x:c r="H526" s="5" t="str">
        <x:v>CLAN</x:v>
      </x:c>
    </x:row>
    <x:row r="527">
      <x:c r="A527" s="5" t="str">
        <x:v>P6</x:v>
      </x:c>
      <x:c r="B527" s="5" t="str">
        <x:v>PXL_20230501_204841817_transcription.xlsx</x:v>
      </x:c>
      <x:c r="C527" s="5" t="str">
        <x:v>PXL_20230501_204841817_transcription_corrected.txt</x:v>
      </x:c>
      <x:c r="D527" s="5" t="str">
        <x:v>basic_ntokens</x:v>
      </x:c>
      <x:c r="E527" s="6" t="n">
        <x:v>224</x:v>
      </x:c>
      <x:c r="F527" s="6" t="n">
        <x:v>326</x:v>
      </x:c>
      <x:c r="G527" s="7" t="n">
        <x:f>IF(OR(E527="",F527="",F527=0),"",ABS(E527-F527)/ABS(F527))</x:f>
        <x:v>0.3128834355828221</x:v>
      </x:c>
      <x:c r="H527" s="5" t="str">
        <x:v>TAALED</x:v>
      </x:c>
    </x:row>
    <x:row r="528">
      <x:c r="A528" s="5" t="str">
        <x:v>P6</x:v>
      </x:c>
      <x:c r="B528" s="5" t="str">
        <x:v>PXL_20230501_204841817_transcription.xlsx</x:v>
      </x:c>
      <x:c r="C528" s="5" t="str">
        <x:v>PXL_20230501_204841817_transcription_corrected.txt</x:v>
      </x:c>
      <x:c r="D528" s="5" t="str">
        <x:v>basic_ntypes</x:v>
      </x:c>
      <x:c r="E528" s="6" t="n">
        <x:v>95</x:v>
      </x:c>
      <x:c r="F528" s="6" t="n">
        <x:v>125</x:v>
      </x:c>
      <x:c r="G528" s="7" t="n">
        <x:f>IF(OR(E528="",F528="",F528=0),"",ABS(E528-F528)/ABS(F528))</x:f>
        <x:v>0.24</x:v>
      </x:c>
      <x:c r="H528" s="5" t="str">
        <x:v>TAALED</x:v>
      </x:c>
    </x:row>
    <x:row r="529">
      <x:c r="A529" s="5" t="str">
        <x:v>P6</x:v>
      </x:c>
      <x:c r="B529" s="5" t="str">
        <x:v>PXL_20230501_204841817_transcription.xlsx</x:v>
      </x:c>
      <x:c r="C529" s="5" t="str">
        <x:v>PXL_20230501_204841817_transcription_corrected.txt</x:v>
      </x:c>
      <x:c r="D529" s="5" t="str">
        <x:v>basic_ncontent_tokens</x:v>
      </x:c>
      <x:c r="E529" s="6" t="n">
        <x:v>88</x:v>
      </x:c>
      <x:c r="F529" s="6" t="n">
        <x:v>140</x:v>
      </x:c>
      <x:c r="G529" s="7" t="n">
        <x:f>IF(OR(E529="",F529="",F529=0),"",ABS(E529-F529)/ABS(F529))</x:f>
        <x:v>0.37142857142857144</x:v>
      </x:c>
      <x:c r="H529" s="5" t="str">
        <x:v>TAALED</x:v>
      </x:c>
    </x:row>
    <x:row r="530">
      <x:c r="A530" s="5" t="str">
        <x:v>P6</x:v>
      </x:c>
      <x:c r="B530" s="5" t="str">
        <x:v>PXL_20230501_204841817_transcription.xlsx</x:v>
      </x:c>
      <x:c r="C530" s="5" t="str">
        <x:v>PXL_20230501_204841817_transcription_corrected.txt</x:v>
      </x:c>
      <x:c r="D530" s="5" t="str">
        <x:v>basic_ncontent_types</x:v>
      </x:c>
      <x:c r="E530" s="6" t="n">
        <x:v>55</x:v>
      </x:c>
      <x:c r="F530" s="6" t="n">
        <x:v>79</x:v>
      </x:c>
      <x:c r="G530" s="7" t="n">
        <x:f>IF(OR(E530="",F530="",F530=0),"",ABS(E530-F530)/ABS(F530))</x:f>
        <x:v>0.3037974683544304</x:v>
      </x:c>
      <x:c r="H530" s="5" t="str">
        <x:v>TAALED</x:v>
      </x:c>
    </x:row>
    <x:row r="531">
      <x:c r="A531" s="5" t="str">
        <x:v>P6</x:v>
      </x:c>
      <x:c r="B531" s="5" t="str">
        <x:v>PXL_20230501_204841817_transcription.xlsx</x:v>
      </x:c>
      <x:c r="C531" s="5" t="str">
        <x:v>PXL_20230501_204841817_transcription_corrected.txt</x:v>
      </x:c>
      <x:c r="D531" s="5" t="str">
        <x:v>basic_nfunction_tokens</x:v>
      </x:c>
      <x:c r="E531" s="6" t="n">
        <x:v>136</x:v>
      </x:c>
      <x:c r="F531" s="6" t="n">
        <x:v>186</x:v>
      </x:c>
      <x:c r="G531" s="7" t="n">
        <x:f>IF(OR(E531="",F531="",F531=0),"",ABS(E531-F531)/ABS(F531))</x:f>
        <x:v>0.26881720430107525</x:v>
      </x:c>
      <x:c r="H531" s="5" t="str">
        <x:v>TAALED</x:v>
      </x:c>
    </x:row>
    <x:row r="532">
      <x:c r="A532" s="5" t="str">
        <x:v>P6</x:v>
      </x:c>
      <x:c r="B532" s="5" t="str">
        <x:v>PXL_20230501_204841817_transcription.xlsx</x:v>
      </x:c>
      <x:c r="C532" s="5" t="str">
        <x:v>PXL_20230501_204841817_transcription_corrected.txt</x:v>
      </x:c>
      <x:c r="D532" s="5" t="str">
        <x:v>basic_nfunction_types</x:v>
      </x:c>
      <x:c r="E532" s="6" t="n">
        <x:v>40</x:v>
      </x:c>
      <x:c r="F532" s="6" t="n">
        <x:v>46</x:v>
      </x:c>
      <x:c r="G532" s="7" t="n">
        <x:f>IF(OR(E532="",F532="",F532=0),"",ABS(E532-F532)/ABS(F532))</x:f>
        <x:v>0.13043478260869565</x:v>
      </x:c>
      <x:c r="H532" s="5" t="str">
        <x:v>TAALED</x:v>
      </x:c>
    </x:row>
    <x:row r="533">
      <x:c r="A533" s="5" t="str">
        <x:v>P6</x:v>
      </x:c>
      <x:c r="B533" s="5" t="str">
        <x:v>PXL_20230501_204841817_transcription.xlsx</x:v>
      </x:c>
      <x:c r="C533" s="5" t="str">
        <x:v>PXL_20230501_204841817_transcription_corrected.txt</x:v>
      </x:c>
      <x:c r="D533" s="5" t="str">
        <x:v>lexical_density_tokens</x:v>
      </x:c>
      <x:c r="E533" s="6" t="n">
        <x:v>0.39285714285714285</x:v>
      </x:c>
      <x:c r="F533" s="6" t="n">
        <x:v>0.4294478527607362</x:v>
      </x:c>
      <x:c r="G533" s="7" t="n">
        <x:f>IF(OR(E533="",F533="",F533=0),"",ABS(E533-F533)/ABS(F533))</x:f>
        <x:v>0.08520408163265313</x:v>
      </x:c>
      <x:c r="H533" s="5" t="str">
        <x:v>TAALED</x:v>
      </x:c>
    </x:row>
    <x:row r="534">
      <x:c r="A534" s="5" t="str">
        <x:v>P6</x:v>
      </x:c>
      <x:c r="B534" s="5" t="str">
        <x:v>PXL_20230501_204841817_transcription.xlsx</x:v>
      </x:c>
      <x:c r="C534" s="5" t="str">
        <x:v>PXL_20230501_204841817_transcription_corrected.txt</x:v>
      </x:c>
      <x:c r="D534" s="5" t="str">
        <x:v>lexical_density_types</x:v>
      </x:c>
      <x:c r="E534" s="6" t="n">
        <x:v>0.5789473684210527</x:v>
      </x:c>
      <x:c r="F534" s="6" t="n">
        <x:v>0.632</x:v>
      </x:c>
      <x:c r="G534" s="7" t="n">
        <x:f>IF(OR(E534="",F534="",F534=0),"",ABS(E534-F534)/ABS(F534))</x:f>
        <x:v>0.08394403730846099</x:v>
      </x:c>
      <x:c r="H534" s="5" t="str">
        <x:v>TAALED</x:v>
      </x:c>
    </x:row>
    <x:row r="535">
      <x:c r="A535" s="5" t="str">
        <x:v>P6</x:v>
      </x:c>
      <x:c r="B535" s="5" t="str">
        <x:v>PXL_20230501_204841817_transcription.xlsx</x:v>
      </x:c>
      <x:c r="C535" s="5" t="str">
        <x:v>PXL_20230501_204841817_transcription_corrected.txt</x:v>
      </x:c>
      <x:c r="D535" s="5" t="str">
        <x:v>simple_ttr_aw</x:v>
      </x:c>
      <x:c r="E535" s="6" t="n">
        <x:v>0.42410714285714285</x:v>
      </x:c>
      <x:c r="F535" s="6" t="n">
        <x:v>0.3834355828220859</x:v>
      </x:c>
      <x:c r="G535" s="7" t="n">
        <x:f>IF(OR(E535="",F535="",F535=0),"",ABS(E535-F535)/ABS(F535))</x:f>
        <x:v>0.10607142857142852</x:v>
      </x:c>
      <x:c r="H535" s="5" t="str">
        <x:v>TAALED</x:v>
      </x:c>
    </x:row>
    <x:row r="536">
      <x:c r="A536" s="5" t="str">
        <x:v>P6</x:v>
      </x:c>
      <x:c r="B536" s="5" t="str">
        <x:v>PXL_20230501_204841817_transcription.xlsx</x:v>
      </x:c>
      <x:c r="C536" s="5" t="str">
        <x:v>PXL_20230501_204841817_transcription_corrected.txt</x:v>
      </x:c>
      <x:c r="D536" s="5" t="str">
        <x:v>root_ttr_aw</x:v>
      </x:c>
      <x:c r="E536" s="6" t="n">
        <x:v>6.347454495420079</x:v>
      </x:c>
      <x:c r="F536" s="6" t="n">
        <x:v>6.923109695271391</x:v>
      </x:c>
      <x:c r="G536" s="7" t="n">
        <x:f>IF(OR(E536="",F536="",F536=0),"",ABS(E536-F536)/ABS(F536))</x:f>
        <x:v>0.08314980192275369</x:v>
      </x:c>
      <x:c r="H536" s="5" t="str">
        <x:v>TAALED</x:v>
      </x:c>
    </x:row>
    <x:row r="537">
      <x:c r="A537" s="5" t="str">
        <x:v>P6</x:v>
      </x:c>
      <x:c r="B537" s="5" t="str">
        <x:v>PXL_20230501_204841817_transcription.xlsx</x:v>
      </x:c>
      <x:c r="C537" s="5" t="str">
        <x:v>PXL_20230501_204841817_transcription_corrected.txt</x:v>
      </x:c>
      <x:c r="D537" s="5" t="str">
        <x:v>log_ttr_aw</x:v>
      </x:c>
      <x:c r="E537" s="6" t="n">
        <x:v>0.8414957016709422</x:v>
      </x:c>
      <x:c r="F537" s="6" t="n">
        <x:v>0.8343527488234092</x:v>
      </x:c>
      <x:c r="G537" s="7" t="n">
        <x:f>IF(OR(E537="",F537="",F537=0),"",ABS(E537-F537)/ABS(F537))</x:f>
        <x:v>0.008561070671374856</x:v>
      </x:c>
      <x:c r="H537" s="5" t="str">
        <x:v>TAALED</x:v>
      </x:c>
    </x:row>
    <x:row r="538">
      <x:c r="A538" s="5" t="str">
        <x:v>P6</x:v>
      </x:c>
      <x:c r="B538" s="5" t="str">
        <x:v>PXL_20230501_204841817_transcription.xlsx</x:v>
      </x:c>
      <x:c r="C538" s="5" t="str">
        <x:v>PXL_20230501_204841817_transcription_corrected.txt</x:v>
      </x:c>
      <x:c r="D538" s="5" t="str">
        <x:v>maas_ttr_aw</x:v>
      </x:c>
      <x:c r="E538" s="6" t="n">
        <x:v>0.06744151982793899</x:v>
      </x:c>
      <x:c r="F538" s="6" t="n">
        <x:v>0.06591042939223128</x:v>
      </x:c>
      <x:c r="G538" s="7" t="n">
        <x:f>IF(OR(E538="",F538="",F538=0),"",ABS(E538-F538)/ABS(F538))</x:f>
        <x:v>0.023229865892637792</x:v>
      </x:c>
      <x:c r="H538" s="5" t="str">
        <x:v>TAALED</x:v>
      </x:c>
    </x:row>
    <x:row r="539">
      <x:c r="A539" s="5" t="str">
        <x:v>P6</x:v>
      </x:c>
      <x:c r="B539" s="5" t="str">
        <x:v>PXL_20230501_204841817_transcription.xlsx</x:v>
      </x:c>
      <x:c r="C539" s="5" t="str">
        <x:v>PXL_20230501_204841817_transcription_corrected.txt</x:v>
      </x:c>
      <x:c r="D539" s="5" t="str">
        <x:v>mattr50_aw</x:v>
      </x:c>
      <x:c r="E539" s="6" t="n">
        <x:v>0.6206857142857143</x:v>
      </x:c>
      <x:c r="F539" s="6" t="n">
        <x:v>0.6545126353790613</x:v>
      </x:c>
      <x:c r="G539" s="7" t="n">
        <x:f>IF(OR(E539="",F539="",F539=0),"",ABS(E539-F539)/ABS(F539))</x:f>
        <x:v>0.05168260972342602</x:v>
      </x:c>
      <x:c r="H539" s="5" t="str">
        <x:v>TAALED</x:v>
      </x:c>
    </x:row>
    <x:row r="540">
      <x:c r="A540" s="5" t="str">
        <x:v>P6</x:v>
      </x:c>
      <x:c r="B540" s="5" t="str">
        <x:v>PXL_20230501_204841817_transcription.xlsx</x:v>
      </x:c>
      <x:c r="C540" s="5" t="str">
        <x:v>PXL_20230501_204841817_transcription_corrected.txt</x:v>
      </x:c>
      <x:c r="D540" s="5" t="str">
        <x:v>msttr50_aw</x:v>
      </x:c>
      <x:c r="E540" s="6" t="n">
        <x:v>0.595</x:v>
      </x:c>
      <x:c r="F540" s="6" t="n">
        <x:v>0.65</x:v>
      </x:c>
      <x:c r="G540" s="7" t="n">
        <x:f>IF(OR(E540="",F540="",F540=0),"",ABS(E540-F540)/ABS(F540))</x:f>
        <x:v>0.08461538461538469</x:v>
      </x:c>
      <x:c r="H540" s="5" t="str">
        <x:v>TAALED</x:v>
      </x:c>
    </x:row>
    <x:row r="541">
      <x:c r="A541" s="5" t="str">
        <x:v>P6</x:v>
      </x:c>
      <x:c r="B541" s="5" t="str">
        <x:v>PXL_20230501_204841817_transcription.xlsx</x:v>
      </x:c>
      <x:c r="C541" s="5" t="str">
        <x:v>PXL_20230501_204841817_transcription_corrected.txt</x:v>
      </x:c>
      <x:c r="D541" s="5" t="str">
        <x:v>hdd42_aw</x:v>
      </x:c>
      <x:c r="E541" s="6" t="n">
        <x:v>0.7182324799046801</x:v>
      </x:c>
      <x:c r="F541" s="6" t="n">
        <x:v>0.7523966482384681</x:v>
      </x:c>
      <x:c r="G541" s="7" t="n">
        <x:f>IF(OR(E541="",F541="",F541=0),"",ABS(E541-F541)/ABS(F541))</x:f>
        <x:v>0.04540712457155955</x:v>
      </x:c>
      <x:c r="H541" s="5" t="str">
        <x:v>TAALED</x:v>
      </x:c>
    </x:row>
    <x:row r="542">
      <x:c r="A542" s="5" t="str">
        <x:v>P6</x:v>
      </x:c>
      <x:c r="B542" s="5" t="str">
        <x:v>PXL_20230501_204841817_transcription.xlsx</x:v>
      </x:c>
      <x:c r="C542" s="5" t="str">
        <x:v>PXL_20230501_204841817_transcription_corrected.txt</x:v>
      </x:c>
      <x:c r="D542" s="5" t="str">
        <x:v>mtld_original_aw</x:v>
      </x:c>
      <x:c r="E542" s="6" t="n">
        <x:v>23.644444444444446</x:v>
      </x:c>
      <x:c r="F542" s="6" t="n">
        <x:v>31.689867629362215</x:v>
      </x:c>
      <x:c r="G542" s="7" t="n">
        <x:f>IF(OR(E542="",F542="",F542=0),"",ABS(E542-F542)/ABS(F542))</x:f>
        <x:v>0.25387998709919796</x:v>
      </x:c>
      <x:c r="H542" s="5" t="str">
        <x:v>TAALED</x:v>
      </x:c>
    </x:row>
    <x:row r="543">
      <x:c r="A543" s="5" t="str">
        <x:v>P6</x:v>
      </x:c>
      <x:c r="B543" s="5" t="str">
        <x:v>PXL_20230501_204841817_transcription.xlsx</x:v>
      </x:c>
      <x:c r="C543" s="5" t="str">
        <x:v>PXL_20230501_204841817_transcription_corrected.txt</x:v>
      </x:c>
      <x:c r="D543" s="5" t="str">
        <x:v>mtld_mean_factor_length_aw</x:v>
      </x:c>
      <x:c r="E543" s="6" t="n">
        <x:v>22.789473684210527</x:v>
      </x:c>
      <x:c r="F543" s="6" t="n">
        <x:v>31.706666666666667</x:v>
      </x:c>
      <x:c r="G543" s="7" t="n">
        <x:f>IF(OR(E543="",F543="",F543=0),"",ABS(E543-F543)/ABS(F543))</x:f>
        <x:v>0.28124031694037444</x:v>
      </x:c>
      <x:c r="H543" s="5" t="str">
        <x:v>TAALED</x:v>
      </x:c>
    </x:row>
    <x:row r="544">
      <x:c r="A544" s="5" t="str">
        <x:v>P6</x:v>
      </x:c>
      <x:c r="B544" s="5" t="str">
        <x:v>PXL_20230501_204841817_transcription.xlsx</x:v>
      </x:c>
      <x:c r="C544" s="5" t="str">
        <x:v>PXL_20230501_204841817_transcription_corrected.txt</x:v>
      </x:c>
      <x:c r="D544" s="5" t="str">
        <x:v>total_utterances</x:v>
      </x:c>
      <x:c r="E544" s="6" t="n">
        <x:v>43</x:v>
      </x:c>
      <x:c r="F544" s="6" t="n">
        <x:v>69</x:v>
      </x:c>
      <x:c r="G544" s="7" t="n">
        <x:f>IF(OR(E544="",F544="",F544=0),"",ABS(E544-F544)/ABS(F544))</x:f>
        <x:v>0.37681159420289856</x:v>
      </x:c>
      <x:c r="H544" s="5" t="str">
        <x:v>CLAN</x:v>
      </x:c>
    </x:row>
    <x:row r="545">
      <x:c r="A545" s="5" t="str">
        <x:v>P6</x:v>
      </x:c>
      <x:c r="B545" s="5" t="str">
        <x:v>PXL_20230501_204841817_transcription.xlsx</x:v>
      </x:c>
      <x:c r="C545" s="5" t="str">
        <x:v>PXL_20230501_204841817_transcription_corrected.txt</x:v>
      </x:c>
      <x:c r="D545" s="5" t="str">
        <x:v>total_words</x:v>
      </x:c>
      <x:c r="E545" s="6" t="n">
        <x:v>217</x:v>
      </x:c>
      <x:c r="F545" s="6" t="n">
        <x:v>321</x:v>
      </x:c>
      <x:c r="G545" s="7" t="n">
        <x:f>IF(OR(E545="",F545="",F545=0),"",ABS(E545-F545)/ABS(F545))</x:f>
        <x:v>0.32398753894080995</x:v>
      </x:c>
      <x:c r="H545" s="5" t="str">
        <x:v>CLAN</x:v>
      </x:c>
    </x:row>
    <x:row r="546">
      <x:c r="A546" s="5" t="str">
        <x:v>P6</x:v>
      </x:c>
      <x:c r="B546" s="5" t="str">
        <x:v>PXL_20230501_204841817_transcription.xlsx</x:v>
      </x:c>
      <x:c r="C546" s="5" t="str">
        <x:v>PXL_20230501_204841817_transcription_corrected.txt</x:v>
      </x:c>
      <x:c r="D546" s="5" t="str">
        <x:v>mlu_words</x:v>
      </x:c>
      <x:c r="E546" s="6" t="n">
        <x:v>5.046511627906977</x:v>
      </x:c>
      <x:c r="F546" s="6" t="n">
        <x:v>4.652</x:v>
      </x:c>
      <x:c r="G546" s="7" t="n">
        <x:f>IF(OR(E546="",F546="",F546=0),"",ABS(E546-F546)/ABS(F546))</x:f>
        <x:v>0.08480473514767341</x:v>
      </x:c>
      <x:c r="H546" s="5" t="str">
        <x:v>CLAN</x:v>
      </x:c>
    </x:row>
    <x:row r="547">
      <x:c r="A547" s="5" t="str">
        <x:v>P6</x:v>
      </x:c>
      <x:c r="B547" s="5" t="str">
        <x:v>PXL_20230501_204841817_transcription.xlsx</x:v>
      </x:c>
      <x:c r="C547" s="5" t="str">
        <x:v>PXL_20230501_204841817_transcription_corrected.txt</x:v>
      </x:c>
      <x:c r="D547" s="5" t="str">
        <x:v>mlu_words_sd</x:v>
      </x:c>
      <x:c r="E547" s="6" t="n">
        <x:v>2.803266270754263</x:v>
      </x:c>
      <x:c r="F547" s="6" t="n">
        <x:v>3.53</x:v>
      </x:c>
      <x:c r="G547" s="7" t="n">
        <x:f>IF(OR(E547="",F547="",F547=0),"",ABS(E547-F547)/ABS(F547))</x:f>
        <x:v>0.2058735776900105</x:v>
      </x:c>
      <x:c r="H547" s="5" t="str">
        <x:v>CLAN</x:v>
      </x:c>
    </x:row>
    <x:row r="548">
      <x:c r="A548" s="5" t="str">
        <x:v>P7</x:v>
      </x:c>
      <x:c r="B548" s="5" t="str">
        <x:v>PXL_20230501_210219176_transcription.xlsx</x:v>
      </x:c>
      <x:c r="C548" s="5" t="str">
        <x:v>PXL_20230501_210219176_transcription_corrected.txt</x:v>
      </x:c>
      <x:c r="D548" s="5" t="str">
        <x:v>basic_ntokens</x:v>
      </x:c>
      <x:c r="E548" s="6" t="n">
        <x:v>160</x:v>
      </x:c>
      <x:c r="F548" s="6" t="n">
        <x:v>144</x:v>
      </x:c>
      <x:c r="G548" s="7" t="n">
        <x:f>IF(OR(E548="",F548="",F548=0),"",ABS(E548-F548)/ABS(F548))</x:f>
        <x:v>0.1111111111111111</x:v>
      </x:c>
      <x:c r="H548" s="5" t="str">
        <x:v>TAALED</x:v>
      </x:c>
    </x:row>
    <x:row r="549">
      <x:c r="A549" s="5" t="str">
        <x:v>P7</x:v>
      </x:c>
      <x:c r="B549" s="5" t="str">
        <x:v>PXL_20230501_210219176_transcription.xlsx</x:v>
      </x:c>
      <x:c r="C549" s="5" t="str">
        <x:v>PXL_20230501_210219176_transcription_corrected.txt</x:v>
      </x:c>
      <x:c r="D549" s="5" t="str">
        <x:v>basic_ntypes</x:v>
      </x:c>
      <x:c r="E549" s="6" t="n">
        <x:v>74</x:v>
      </x:c>
      <x:c r="F549" s="6" t="n">
        <x:v>71</x:v>
      </x:c>
      <x:c r="G549" s="7" t="n">
        <x:f>IF(OR(E549="",F549="",F549=0),"",ABS(E549-F549)/ABS(F549))</x:f>
        <x:v>0.04225352112676056</x:v>
      </x:c>
      <x:c r="H549" s="5" t="str">
        <x:v>TAALED</x:v>
      </x:c>
    </x:row>
    <x:row r="550">
      <x:c r="A550" s="5" t="str">
        <x:v>P7</x:v>
      </x:c>
      <x:c r="B550" s="5" t="str">
        <x:v>PXL_20230501_210219176_transcription.xlsx</x:v>
      </x:c>
      <x:c r="C550" s="5" t="str">
        <x:v>PXL_20230501_210219176_transcription_corrected.txt</x:v>
      </x:c>
      <x:c r="D550" s="5" t="str">
        <x:v>basic_ncontent_tokens</x:v>
      </x:c>
      <x:c r="E550" s="6" t="n">
        <x:v>87</x:v>
      </x:c>
      <x:c r="F550" s="6" t="n">
        <x:v>81</x:v>
      </x:c>
      <x:c r="G550" s="7" t="n">
        <x:f>IF(OR(E550="",F550="",F550=0),"",ABS(E550-F550)/ABS(F550))</x:f>
        <x:v>0.07407407407407407</x:v>
      </x:c>
      <x:c r="H550" s="5" t="str">
        <x:v>TAALED</x:v>
      </x:c>
    </x:row>
    <x:row r="551">
      <x:c r="A551" s="5" t="str">
        <x:v>P7</x:v>
      </x:c>
      <x:c r="B551" s="5" t="str">
        <x:v>PXL_20230501_210219176_transcription.xlsx</x:v>
      </x:c>
      <x:c r="C551" s="5" t="str">
        <x:v>PXL_20230501_210219176_transcription_corrected.txt</x:v>
      </x:c>
      <x:c r="D551" s="5" t="str">
        <x:v>basic_ncontent_types</x:v>
      </x:c>
      <x:c r="E551" s="6" t="n">
        <x:v>44</x:v>
      </x:c>
      <x:c r="F551" s="6" t="n">
        <x:v>44</x:v>
      </x:c>
      <x:c r="G551" s="7" t="n">
        <x:f>IF(OR(E551="",F551="",F551=0),"",ABS(E551-F551)/ABS(F551))</x:f>
        <x:v>0</x:v>
      </x:c>
      <x:c r="H551" s="5" t="str">
        <x:v>TAALED</x:v>
      </x:c>
    </x:row>
    <x:row r="552">
      <x:c r="A552" s="5" t="str">
        <x:v>P7</x:v>
      </x:c>
      <x:c r="B552" s="5" t="str">
        <x:v>PXL_20230501_210219176_transcription.xlsx</x:v>
      </x:c>
      <x:c r="C552" s="5" t="str">
        <x:v>PXL_20230501_210219176_transcription_corrected.txt</x:v>
      </x:c>
      <x:c r="D552" s="5" t="str">
        <x:v>basic_nfunction_tokens</x:v>
      </x:c>
      <x:c r="E552" s="6" t="n">
        <x:v>73</x:v>
      </x:c>
      <x:c r="F552" s="6" t="n">
        <x:v>63</x:v>
      </x:c>
      <x:c r="G552" s="7" t="n">
        <x:f>IF(OR(E552="",F552="",F552=0),"",ABS(E552-F552)/ABS(F552))</x:f>
        <x:v>0.15873015873015872</x:v>
      </x:c>
      <x:c r="H552" s="5" t="str">
        <x:v>TAALED</x:v>
      </x:c>
    </x:row>
    <x:row r="553">
      <x:c r="A553" s="5" t="str">
        <x:v>P7</x:v>
      </x:c>
      <x:c r="B553" s="5" t="str">
        <x:v>PXL_20230501_210219176_transcription.xlsx</x:v>
      </x:c>
      <x:c r="C553" s="5" t="str">
        <x:v>PXL_20230501_210219176_transcription_corrected.txt</x:v>
      </x:c>
      <x:c r="D553" s="5" t="str">
        <x:v>basic_nfunction_types</x:v>
      </x:c>
      <x:c r="E553" s="6" t="n">
        <x:v>30</x:v>
      </x:c>
      <x:c r="F553" s="6" t="n">
        <x:v>27</x:v>
      </x:c>
      <x:c r="G553" s="7" t="n">
        <x:f>IF(OR(E553="",F553="",F553=0),"",ABS(E553-F553)/ABS(F553))</x:f>
        <x:v>0.1111111111111111</x:v>
      </x:c>
      <x:c r="H553" s="5" t="str">
        <x:v>TAALED</x:v>
      </x:c>
    </x:row>
    <x:row r="554">
      <x:c r="A554" s="5" t="str">
        <x:v>P7</x:v>
      </x:c>
      <x:c r="B554" s="5" t="str">
        <x:v>PXL_20230501_210219176_transcription.xlsx</x:v>
      </x:c>
      <x:c r="C554" s="5" t="str">
        <x:v>PXL_20230501_210219176_transcription_corrected.txt</x:v>
      </x:c>
      <x:c r="D554" s="5" t="str">
        <x:v>lexical_density_tokens</x:v>
      </x:c>
      <x:c r="E554" s="6" t="n">
        <x:v>0.54375</x:v>
      </x:c>
      <x:c r="F554" s="6" t="n">
        <x:v>0.5625</x:v>
      </x:c>
      <x:c r="G554" s="7" t="n">
        <x:f>IF(OR(E554="",F554="",F554=0),"",ABS(E554-F554)/ABS(F554))</x:f>
        <x:v>0.03333333333333341</x:v>
      </x:c>
      <x:c r="H554" s="5" t="str">
        <x:v>TAALED</x:v>
      </x:c>
    </x:row>
    <x:row r="555">
      <x:c r="A555" s="5" t="str">
        <x:v>P7</x:v>
      </x:c>
      <x:c r="B555" s="5" t="str">
        <x:v>PXL_20230501_210219176_transcription.xlsx</x:v>
      </x:c>
      <x:c r="C555" s="5" t="str">
        <x:v>PXL_20230501_210219176_transcription_corrected.txt</x:v>
      </x:c>
      <x:c r="D555" s="5" t="str">
        <x:v>lexical_density_types</x:v>
      </x:c>
      <x:c r="E555" s="6" t="n">
        <x:v>0.5945945945945946</x:v>
      </x:c>
      <x:c r="F555" s="6" t="n">
        <x:v>0.6197183098591549</x:v>
      </x:c>
      <x:c r="G555" s="7" t="n">
        <x:f>IF(OR(E555="",F555="",F555=0),"",ABS(E555-F555)/ABS(F555))</x:f>
        <x:v>0.04054054054054041</x:v>
      </x:c>
      <x:c r="H555" s="5" t="str">
        <x:v>TAALED</x:v>
      </x:c>
    </x:row>
    <x:row r="556">
      <x:c r="A556" s="5" t="str">
        <x:v>P7</x:v>
      </x:c>
      <x:c r="B556" s="5" t="str">
        <x:v>PXL_20230501_210219176_transcription.xlsx</x:v>
      </x:c>
      <x:c r="C556" s="5" t="str">
        <x:v>PXL_20230501_210219176_transcription_corrected.txt</x:v>
      </x:c>
      <x:c r="D556" s="5" t="str">
        <x:v>simple_ttr_aw</x:v>
      </x:c>
      <x:c r="E556" s="6" t="n">
        <x:v>0.4625</x:v>
      </x:c>
      <x:c r="F556" s="6" t="n">
        <x:v>0.4930555555555556</x:v>
      </x:c>
      <x:c r="G556" s="7" t="n">
        <x:f>IF(OR(E556="",F556="",F556=0),"",ABS(E556-F556)/ABS(F556))</x:f>
        <x:v>0.061971830985915494</x:v>
      </x:c>
      <x:c r="H556" s="5" t="str">
        <x:v>TAALED</x:v>
      </x:c>
    </x:row>
    <x:row r="557">
      <x:c r="A557" s="5" t="str">
        <x:v>P7</x:v>
      </x:c>
      <x:c r="B557" s="5" t="str">
        <x:v>PXL_20230501_210219176_transcription.xlsx</x:v>
      </x:c>
      <x:c r="C557" s="5" t="str">
        <x:v>PXL_20230501_210219176_transcription_corrected.txt</x:v>
      </x:c>
      <x:c r="D557" s="5" t="str">
        <x:v>root_ttr_aw</x:v>
      </x:c>
      <x:c r="E557" s="6" t="n">
        <x:v>5.850213671311502</x:v>
      </x:c>
      <x:c r="F557" s="6" t="n">
        <x:v>5.916666666666667</x:v>
      </x:c>
      <x:c r="G557" s="7" t="n">
        <x:f>IF(OR(E557="",F557="",F557=0),"",ABS(E557-F557)/ABS(F557))</x:f>
        <x:v>0.011231492172704003</x:v>
      </x:c>
      <x:c r="H557" s="5" t="str">
        <x:v>TAALED</x:v>
      </x:c>
    </x:row>
    <x:row r="558">
      <x:c r="A558" s="5" t="str">
        <x:v>P7</x:v>
      </x:c>
      <x:c r="B558" s="5" t="str">
        <x:v>PXL_20230501_210219176_transcription.xlsx</x:v>
      </x:c>
      <x:c r="C558" s="5" t="str">
        <x:v>PXL_20230501_210219176_transcription_corrected.txt</x:v>
      </x:c>
      <x:c r="D558" s="5" t="str">
        <x:v>log_ttr_aw</x:v>
      </x:c>
      <x:c r="E558" s="6" t="n">
        <x:v>0.8480625984246947</x:v>
      </x:c>
      <x:c r="F558" s="6" t="n">
        <x:v>0.8577142882620934</x:v>
      </x:c>
      <x:c r="G558" s="7" t="n">
        <x:f>IF(OR(E558="",F558="",F558=0),"",ABS(E558-F558)/ABS(F558))</x:f>
        <x:v>0.011252802908244708</x:v>
      </x:c>
      <x:c r="H558" s="5" t="str">
        <x:v>TAALED</x:v>
      </x:c>
    </x:row>
    <x:row r="559">
      <x:c r="A559" s="5" t="str">
        <x:v>P7</x:v>
      </x:c>
      <x:c r="B559" s="5" t="str">
        <x:v>PXL_20230501_210219176_transcription.xlsx</x:v>
      </x:c>
      <x:c r="C559" s="5" t="str">
        <x:v>PXL_20230501_210219176_transcription_corrected.txt</x:v>
      </x:c>
      <x:c r="D559" s="5" t="str">
        <x:v>maas_ttr_aw</x:v>
      </x:c>
      <x:c r="E559" s="6" t="n">
        <x:v>0.06893336241715098</x:v>
      </x:c>
      <x:c r="F559" s="6" t="n">
        <x:v>0.06592299127649383</x:v>
      </x:c>
      <x:c r="G559" s="7" t="n">
        <x:f>IF(OR(E559="",F559="",F559=0),"",ABS(E559-F559)/ABS(F559))</x:f>
        <x:v>0.045664965778495534</x:v>
      </x:c>
      <x:c r="H559" s="5" t="str">
        <x:v>TAALED</x:v>
      </x:c>
    </x:row>
    <x:row r="560">
      <x:c r="A560" s="5" t="str">
        <x:v>P7</x:v>
      </x:c>
      <x:c r="B560" s="5" t="str">
        <x:v>PXL_20230501_210219176_transcription.xlsx</x:v>
      </x:c>
      <x:c r="C560" s="5" t="str">
        <x:v>PXL_20230501_210219176_transcription_corrected.txt</x:v>
      </x:c>
      <x:c r="D560" s="5" t="str">
        <x:v>mattr50_aw</x:v>
      </x:c>
      <x:c r="E560" s="6" t="n">
        <x:v>0.618018018018018</x:v>
      </x:c>
      <x:c r="F560" s="6" t="n">
        <x:v>0.6235789473684211</x:v>
      </x:c>
      <x:c r="G560" s="7" t="n">
        <x:f>IF(OR(E560="",F560="",F560=0),"",ABS(E560-F560)/ABS(F560))</x:f>
        <x:v>0.008917763137884761</x:v>
      </x:c>
      <x:c r="H560" s="5" t="str">
        <x:v>TAALED</x:v>
      </x:c>
    </x:row>
    <x:row r="561">
      <x:c r="A561" s="5" t="str">
        <x:v>P7</x:v>
      </x:c>
      <x:c r="B561" s="5" t="str">
        <x:v>PXL_20230501_210219176_transcription.xlsx</x:v>
      </x:c>
      <x:c r="C561" s="5" t="str">
        <x:v>PXL_20230501_210219176_transcription_corrected.txt</x:v>
      </x:c>
      <x:c r="D561" s="5" t="str">
        <x:v>msttr50_aw</x:v>
      </x:c>
      <x:c r="E561" s="6" t="n">
        <x:v>0.64</x:v>
      </x:c>
      <x:c r="F561" s="6" t="n">
        <x:v>0.5800000000000001</x:v>
      </x:c>
      <x:c r="G561" s="7" t="n">
        <x:f>IF(OR(E561="",F561="",F561=0),"",ABS(E561-F561)/ABS(F561))</x:f>
        <x:v>0.10344827586206885</x:v>
      </x:c>
      <x:c r="H561" s="5" t="str">
        <x:v>TAALED</x:v>
      </x:c>
    </x:row>
    <x:row r="562">
      <x:c r="A562" s="5" t="str">
        <x:v>P7</x:v>
      </x:c>
      <x:c r="B562" s="5" t="str">
        <x:v>PXL_20230501_210219176_transcription.xlsx</x:v>
      </x:c>
      <x:c r="C562" s="5" t="str">
        <x:v>PXL_20230501_210219176_transcription_corrected.txt</x:v>
      </x:c>
      <x:c r="D562" s="5" t="str">
        <x:v>hdd42_aw</x:v>
      </x:c>
      <x:c r="E562" s="6" t="n">
        <x:v>0.7267893047587678</x:v>
      </x:c>
      <x:c r="F562" s="6" t="n">
        <x:v>0.7275522983758793</x:v>
      </x:c>
      <x:c r="G562" s="7" t="n">
        <x:f>IF(OR(E562="",F562="",F562=0),"",ABS(E562-F562)/ABS(F562))</x:f>
        <x:v>0.0010487130874505582</x:v>
      </x:c>
      <x:c r="H562" s="5" t="str">
        <x:v>TAALED</x:v>
      </x:c>
    </x:row>
    <x:row r="563">
      <x:c r="A563" s="5" t="str">
        <x:v>P7</x:v>
      </x:c>
      <x:c r="B563" s="5" t="str">
        <x:v>PXL_20230501_210219176_transcription.xlsx</x:v>
      </x:c>
      <x:c r="C563" s="5" t="str">
        <x:v>PXL_20230501_210219176_transcription_corrected.txt</x:v>
      </x:c>
      <x:c r="D563" s="5" t="str">
        <x:v>mtld_original_aw</x:v>
      </x:c>
      <x:c r="E563" s="6" t="n">
        <x:v>36.749024707412225</x:v>
      </x:c>
      <x:c r="F563" s="6" t="n">
        <x:v>38.009475407011806</x:v>
      </x:c>
      <x:c r="G563" s="7" t="n">
        <x:f>IF(OR(E563="",F563="",F563=0),"",ABS(E563-F563)/ABS(F563))</x:f>
        <x:v>0.03316148634261494</x:v>
      </x:c>
      <x:c r="H563" s="5" t="str">
        <x:v>TAALED</x:v>
      </x:c>
    </x:row>
    <x:row r="564">
      <x:c r="A564" s="5" t="str">
        <x:v>P7</x:v>
      </x:c>
      <x:c r="B564" s="5" t="str">
        <x:v>PXL_20230501_210219176_transcription.xlsx</x:v>
      </x:c>
      <x:c r="C564" s="5" t="str">
        <x:v>PXL_20230501_210219176_transcription_corrected.txt</x:v>
      </x:c>
      <x:c r="D564" s="5" t="str">
        <x:v>mtld_mean_factor_length_aw</x:v>
      </x:c>
      <x:c r="E564" s="6" t="n">
        <x:v>36.36088888888889</x:v>
      </x:c>
      <x:c r="F564" s="6" t="n">
        <x:v>39.139375</x:v>
      </x:c>
      <x:c r="G564" s="7" t="n">
        <x:f>IF(OR(E564="",F564="",F564=0),"",ABS(E564-F564)/ABS(F564))</x:f>
        <x:v>0.07098953703555853</x:v>
      </x:c>
      <x:c r="H564" s="5" t="str">
        <x:v>TAALED</x:v>
      </x:c>
    </x:row>
    <x:row r="565">
      <x:c r="A565" s="5" t="str">
        <x:v>P7</x:v>
      </x:c>
      <x:c r="B565" s="5" t="str">
        <x:v>PXL_20230501_210219176_transcription.xlsx</x:v>
      </x:c>
      <x:c r="C565" s="5" t="str">
        <x:v>PXL_20230501_210219176_transcription_corrected.txt</x:v>
      </x:c>
      <x:c r="D565" s="5" t="str">
        <x:v>total_utterances</x:v>
      </x:c>
      <x:c r="E565" s="6" t="n">
        <x:v>49</x:v>
      </x:c>
      <x:c r="F565" s="6" t="n">
        <x:v>47</x:v>
      </x:c>
      <x:c r="G565" s="7" t="n">
        <x:f>IF(OR(E565="",F565="",F565=0),"",ABS(E565-F565)/ABS(F565))</x:f>
        <x:v>0.0425531914893617</x:v>
      </x:c>
      <x:c r="H565" s="5" t="str">
        <x:v>CLAN</x:v>
      </x:c>
    </x:row>
    <x:row r="566">
      <x:c r="A566" s="5" t="str">
        <x:v>P7</x:v>
      </x:c>
      <x:c r="B566" s="5" t="str">
        <x:v>PXL_20230501_210219176_transcription.xlsx</x:v>
      </x:c>
      <x:c r="C566" s="5" t="str">
        <x:v>PXL_20230501_210219176_transcription_corrected.txt</x:v>
      </x:c>
      <x:c r="D566" s="5" t="str">
        <x:v>total_words</x:v>
      </x:c>
      <x:c r="E566" s="6" t="n">
        <x:v>138</x:v>
      </x:c>
      <x:c r="F566" s="6" t="n">
        <x:v>125</x:v>
      </x:c>
      <x:c r="G566" s="7" t="n">
        <x:f>IF(OR(E566="",F566="",F566=0),"",ABS(E566-F566)/ABS(F566))</x:f>
        <x:v>0.104</x:v>
      </x:c>
      <x:c r="H566" s="5" t="str">
        <x:v>CLAN</x:v>
      </x:c>
    </x:row>
    <x:row r="567">
      <x:c r="A567" s="5" t="str">
        <x:v>P7</x:v>
      </x:c>
      <x:c r="B567" s="5" t="str">
        <x:v>PXL_20230501_210219176_transcription.xlsx</x:v>
      </x:c>
      <x:c r="C567" s="5" t="str">
        <x:v>PXL_20230501_210219176_transcription_corrected.txt</x:v>
      </x:c>
      <x:c r="D567" s="5" t="str">
        <x:v>mlu_words</x:v>
      </x:c>
      <x:c r="E567" s="6" t="n">
        <x:v>2.816326530612245</x:v>
      </x:c>
      <x:c r="F567" s="6" t="n">
        <x:v>2.66</x:v>
      </x:c>
      <x:c r="G567" s="7" t="n">
        <x:f>IF(OR(E567="",F567="",F567=0),"",ABS(E567-F567)/ABS(F567))</x:f>
        <x:v>0.05876937241061833</x:v>
      </x:c>
      <x:c r="H567" s="5" t="str">
        <x:v>CLAN</x:v>
      </x:c>
    </x:row>
    <x:row r="568">
      <x:c r="A568" s="5" t="str">
        <x:v>P7</x:v>
      </x:c>
      <x:c r="B568" s="5" t="str">
        <x:v>PXL_20230501_210219176_transcription.xlsx</x:v>
      </x:c>
      <x:c r="C568" s="5" t="str">
        <x:v>PXL_20230501_210219176_transcription_corrected.txt</x:v>
      </x:c>
      <x:c r="D568" s="5" t="str">
        <x:v>mlu_words_sd</x:v>
      </x:c>
      <x:c r="E568" s="6" t="n">
        <x:v>1.8590481368190583</x:v>
      </x:c>
      <x:c r="F568" s="6" t="n">
        <x:v>1.848</x:v>
      </x:c>
      <x:c r="G568" s="7" t="n">
        <x:f>IF(OR(E568="",F568="",F568=0),"",ABS(E568-F568)/ABS(F568))</x:f>
        <x:v>0.0059784290146419105</x:v>
      </x:c>
      <x:c r="H568" s="5" t="str">
        <x:v>CLAN</x:v>
      </x:c>
    </x:row>
    <x:row r="569">
      <x:c r="A569" s="5" t="str">
        <x:v>P7</x:v>
      </x:c>
      <x:c r="B569" s="5" t="str">
        <x:v>PXL_20230501_211259851_transcription.xlsx</x:v>
      </x:c>
      <x:c r="C569" s="5" t="str">
        <x:v>PXL_20230501_211259851_transcription_corrected.txt</x:v>
      </x:c>
      <x:c r="D569" s="5" t="str">
        <x:v>basic_ntokens</x:v>
      </x:c>
      <x:c r="E569" s="6" t="n">
        <x:v>122</x:v>
      </x:c>
      <x:c r="F569" s="6" t="n">
        <x:v>123</x:v>
      </x:c>
      <x:c r="G569" s="7" t="n">
        <x:f>IF(OR(E569="",F569="",F569=0),"",ABS(E569-F569)/ABS(F569))</x:f>
        <x:v>0.008130081300813009</x:v>
      </x:c>
      <x:c r="H569" s="5" t="str">
        <x:v>TAALED</x:v>
      </x:c>
    </x:row>
    <x:row r="570">
      <x:c r="A570" s="5" t="str">
        <x:v>P7</x:v>
      </x:c>
      <x:c r="B570" s="5" t="str">
        <x:v>PXL_20230501_211259851_transcription.xlsx</x:v>
      </x:c>
      <x:c r="C570" s="5" t="str">
        <x:v>PXL_20230501_211259851_transcription_corrected.txt</x:v>
      </x:c>
      <x:c r="D570" s="5" t="str">
        <x:v>basic_ntypes</x:v>
      </x:c>
      <x:c r="E570" s="6" t="n">
        <x:v>46</x:v>
      </x:c>
      <x:c r="F570" s="6" t="n">
        <x:v>49</x:v>
      </x:c>
      <x:c r="G570" s="7" t="n">
        <x:f>IF(OR(E570="",F570="",F570=0),"",ABS(E570-F570)/ABS(F570))</x:f>
        <x:v>0.061224489795918366</x:v>
      </x:c>
      <x:c r="H570" s="5" t="str">
        <x:v>TAALED</x:v>
      </x:c>
    </x:row>
    <x:row r="571">
      <x:c r="A571" s="5" t="str">
        <x:v>P7</x:v>
      </x:c>
      <x:c r="B571" s="5" t="str">
        <x:v>PXL_20230501_211259851_transcription.xlsx</x:v>
      </x:c>
      <x:c r="C571" s="5" t="str">
        <x:v>PXL_20230501_211259851_transcription_corrected.txt</x:v>
      </x:c>
      <x:c r="D571" s="5" t="str">
        <x:v>basic_ncontent_tokens</x:v>
      </x:c>
      <x:c r="E571" s="6" t="n">
        <x:v>47</x:v>
      </x:c>
      <x:c r="F571" s="6" t="n">
        <x:v>48</x:v>
      </x:c>
      <x:c r="G571" s="7" t="n">
        <x:f>IF(OR(E571="",F571="",F571=0),"",ABS(E571-F571)/ABS(F571))</x:f>
        <x:v>0.020833333333333332</x:v>
      </x:c>
      <x:c r="H571" s="5" t="str">
        <x:v>TAALED</x:v>
      </x:c>
    </x:row>
    <x:row r="572">
      <x:c r="A572" s="5" t="str">
        <x:v>P7</x:v>
      </x:c>
      <x:c r="B572" s="5" t="str">
        <x:v>PXL_20230501_211259851_transcription.xlsx</x:v>
      </x:c>
      <x:c r="C572" s="5" t="str">
        <x:v>PXL_20230501_211259851_transcription_corrected.txt</x:v>
      </x:c>
      <x:c r="D572" s="5" t="str">
        <x:v>basic_ncontent_types</x:v>
      </x:c>
      <x:c r="E572" s="6" t="n">
        <x:v>26</x:v>
      </x:c>
      <x:c r="F572" s="6" t="n">
        <x:v>27</x:v>
      </x:c>
      <x:c r="G572" s="7" t="n">
        <x:f>IF(OR(E572="",F572="",F572=0),"",ABS(E572-F572)/ABS(F572))</x:f>
        <x:v>0.037037037037037035</x:v>
      </x:c>
      <x:c r="H572" s="5" t="str">
        <x:v>TAALED</x:v>
      </x:c>
    </x:row>
    <x:row r="573">
      <x:c r="A573" s="5" t="str">
        <x:v>P7</x:v>
      </x:c>
      <x:c r="B573" s="5" t="str">
        <x:v>PXL_20230501_211259851_transcription.xlsx</x:v>
      </x:c>
      <x:c r="C573" s="5" t="str">
        <x:v>PXL_20230501_211259851_transcription_corrected.txt</x:v>
      </x:c>
      <x:c r="D573" s="5" t="str">
        <x:v>basic_nfunction_tokens</x:v>
      </x:c>
      <x:c r="E573" s="6" t="n">
        <x:v>75</x:v>
      </x:c>
      <x:c r="F573" s="6" t="n">
        <x:v>75</x:v>
      </x:c>
      <x:c r="G573" s="7" t="n">
        <x:f>IF(OR(E573="",F573="",F573=0),"",ABS(E573-F573)/ABS(F573))</x:f>
        <x:v>0</x:v>
      </x:c>
      <x:c r="H573" s="5" t="str">
        <x:v>TAALED</x:v>
      </x:c>
    </x:row>
    <x:row r="574">
      <x:c r="A574" s="5" t="str">
        <x:v>P7</x:v>
      </x:c>
      <x:c r="B574" s="5" t="str">
        <x:v>PXL_20230501_211259851_transcription.xlsx</x:v>
      </x:c>
      <x:c r="C574" s="5" t="str">
        <x:v>PXL_20230501_211259851_transcription_corrected.txt</x:v>
      </x:c>
      <x:c r="D574" s="5" t="str">
        <x:v>basic_nfunction_types</x:v>
      </x:c>
      <x:c r="E574" s="6" t="n">
        <x:v>20</x:v>
      </x:c>
      <x:c r="F574" s="6" t="n">
        <x:v>22</x:v>
      </x:c>
      <x:c r="G574" s="7" t="n">
        <x:f>IF(OR(E574="",F574="",F574=0),"",ABS(E574-F574)/ABS(F574))</x:f>
        <x:v>0.09090909090909091</x:v>
      </x:c>
      <x:c r="H574" s="5" t="str">
        <x:v>TAALED</x:v>
      </x:c>
    </x:row>
    <x:row r="575">
      <x:c r="A575" s="5" t="str">
        <x:v>P7</x:v>
      </x:c>
      <x:c r="B575" s="5" t="str">
        <x:v>PXL_20230501_211259851_transcription.xlsx</x:v>
      </x:c>
      <x:c r="C575" s="5" t="str">
        <x:v>PXL_20230501_211259851_transcription_corrected.txt</x:v>
      </x:c>
      <x:c r="D575" s="5" t="str">
        <x:v>lexical_density_tokens</x:v>
      </x:c>
      <x:c r="E575" s="6" t="n">
        <x:v>0.38524590163934425</x:v>
      </x:c>
      <x:c r="F575" s="6" t="n">
        <x:v>0.3902439024390244</x:v>
      </x:c>
      <x:c r="G575" s="7" t="n">
        <x:f>IF(OR(E575="",F575="",F575=0),"",ABS(E575-F575)/ABS(F575))</x:f>
        <x:v>0.012807377049180405</x:v>
      </x:c>
      <x:c r="H575" s="5" t="str">
        <x:v>TAALED</x:v>
      </x:c>
    </x:row>
    <x:row r="576">
      <x:c r="A576" s="5" t="str">
        <x:v>P7</x:v>
      </x:c>
      <x:c r="B576" s="5" t="str">
        <x:v>PXL_20230501_211259851_transcription.xlsx</x:v>
      </x:c>
      <x:c r="C576" s="5" t="str">
        <x:v>PXL_20230501_211259851_transcription_corrected.txt</x:v>
      </x:c>
      <x:c r="D576" s="5" t="str">
        <x:v>lexical_density_types</x:v>
      </x:c>
      <x:c r="E576" s="6" t="n">
        <x:v>0.5652173913043478</x:v>
      </x:c>
      <x:c r="F576" s="6" t="n">
        <x:v>0.5510204081632653</x:v>
      </x:c>
      <x:c r="G576" s="7" t="n">
        <x:f>IF(OR(E576="",F576="",F576=0),"",ABS(E576-F576)/ABS(F576))</x:f>
        <x:v>0.025764895330112742</x:v>
      </x:c>
      <x:c r="H576" s="5" t="str">
        <x:v>TAALED</x:v>
      </x:c>
    </x:row>
    <x:row r="577">
      <x:c r="A577" s="5" t="str">
        <x:v>P7</x:v>
      </x:c>
      <x:c r="B577" s="5" t="str">
        <x:v>PXL_20230501_211259851_transcription.xlsx</x:v>
      </x:c>
      <x:c r="C577" s="5" t="str">
        <x:v>PXL_20230501_211259851_transcription_corrected.txt</x:v>
      </x:c>
      <x:c r="D577" s="5" t="str">
        <x:v>simple_ttr_aw</x:v>
      </x:c>
      <x:c r="E577" s="6" t="n">
        <x:v>0.3770491803278688</x:v>
      </x:c>
      <x:c r="F577" s="6" t="n">
        <x:v>0.3983739837398374</x:v>
      </x:c>
      <x:c r="G577" s="7" t="n">
        <x:f>IF(OR(E577="",F577="",F577=0),"",ABS(E577-F577)/ABS(F577))</x:f>
        <x:v>0.05352960856473744</x:v>
      </x:c>
      <x:c r="H577" s="5" t="str">
        <x:v>TAALED</x:v>
      </x:c>
    </x:row>
    <x:row r="578">
      <x:c r="A578" s="5" t="str">
        <x:v>P7</x:v>
      </x:c>
      <x:c r="B578" s="5" t="str">
        <x:v>PXL_20230501_211259851_transcription.xlsx</x:v>
      </x:c>
      <x:c r="C578" s="5" t="str">
        <x:v>PXL_20230501_211259851_transcription_corrected.txt</x:v>
      </x:c>
      <x:c r="D578" s="5" t="str">
        <x:v>root_ttr_aw</x:v>
      </x:c>
      <x:c r="E578" s="6" t="n">
        <x:v>4.164644317955852</x:v>
      </x:c>
      <x:c r="F578" s="6" t="n">
        <x:v>4.418181209870418</x:v>
      </x:c>
      <x:c r="G578" s="7" t="n">
        <x:f>IF(OR(E578="",F578="",F578=0),"",ABS(E578-F578)/ABS(F578))</x:f>
        <x:v>0.057384901132654494</x:v>
      </x:c>
      <x:c r="H578" s="5" t="str">
        <x:v>TAALED</x:v>
      </x:c>
    </x:row>
    <x:row r="579">
      <x:c r="A579" s="5" t="str">
        <x:v>P7</x:v>
      </x:c>
      <x:c r="B579" s="5" t="str">
        <x:v>PXL_20230501_211259851_transcription.xlsx</x:v>
      </x:c>
      <x:c r="C579" s="5" t="str">
        <x:v>PXL_20230501_211259851_transcription_corrected.txt</x:v>
      </x:c>
      <x:c r="D579" s="5" t="str">
        <x:v>log_ttr_aw</x:v>
      </x:c>
      <x:c r="E579" s="6" t="n">
        <x:v>0.7969659917885893</x:v>
      </x:c>
      <x:c r="F579" s="6" t="n">
        <x:v>0.8087429763088194</x:v>
      </x:c>
      <x:c r="G579" s="7" t="n">
        <x:f>IF(OR(E579="",F579="",F579=0),"",ABS(E579-F579)/ABS(F579))</x:f>
        <x:v>0.01456208568757087</x:v>
      </x:c>
      <x:c r="H579" s="5" t="str">
        <x:v>TAALED</x:v>
      </x:c>
    </x:row>
    <x:row r="580">
      <x:c r="A580" s="5" t="str">
        <x:v>P7</x:v>
      </x:c>
      <x:c r="B580" s="5" t="str">
        <x:v>PXL_20230501_211259851_transcription.xlsx</x:v>
      </x:c>
      <x:c r="C580" s="5" t="str">
        <x:v>PXL_20230501_211259851_transcription_corrected.txt</x:v>
      </x:c>
      <x:c r="D580" s="5" t="str">
        <x:v>maas_ttr_aw</x:v>
      </x:c>
      <x:c r="E580" s="6" t="n">
        <x:v>0.09731495268759444</x:v>
      </x:c>
      <x:c r="F580" s="6" t="n">
        <x:v>0.09151469253044439</x:v>
      </x:c>
      <x:c r="G580" s="7" t="n">
        <x:f>IF(OR(E580="",F580="",F580=0),"",ABS(E580-F580)/ABS(F580))</x:f>
        <x:v>0.06338064409953036</x:v>
      </x:c>
      <x:c r="H580" s="5" t="str">
        <x:v>TAALED</x:v>
      </x:c>
    </x:row>
    <x:row r="581">
      <x:c r="A581" s="5" t="str">
        <x:v>P7</x:v>
      </x:c>
      <x:c r="B581" s="5" t="str">
        <x:v>PXL_20230501_211259851_transcription.xlsx</x:v>
      </x:c>
      <x:c r="C581" s="5" t="str">
        <x:v>PXL_20230501_211259851_transcription_corrected.txt</x:v>
      </x:c>
      <x:c r="D581" s="5" t="str">
        <x:v>mattr50_aw</x:v>
      </x:c>
      <x:c r="E581" s="6" t="n">
        <x:v>0.5128767123287671</x:v>
      </x:c>
      <x:c r="F581" s="6" t="n">
        <x:v>0.5594594594594595</x:v>
      </x:c>
      <x:c r="G581" s="7" t="n">
        <x:f>IF(OR(E581="",F581="",F581=0),"",ABS(E581-F581)/ABS(F581))</x:f>
        <x:v>0.08326384752829082</x:v>
      </x:c>
      <x:c r="H581" s="5" t="str">
        <x:v>TAALED</x:v>
      </x:c>
    </x:row>
    <x:row r="582">
      <x:c r="A582" s="5" t="str">
        <x:v>P7</x:v>
      </x:c>
      <x:c r="B582" s="5" t="str">
        <x:v>PXL_20230501_211259851_transcription.xlsx</x:v>
      </x:c>
      <x:c r="C582" s="5" t="str">
        <x:v>PXL_20230501_211259851_transcription_corrected.txt</x:v>
      </x:c>
      <x:c r="D582" s="5" t="str">
        <x:v>msttr50_aw</x:v>
      </x:c>
      <x:c r="E582" s="6" t="n">
        <x:v>0.5</x:v>
      </x:c>
      <x:c r="F582" s="6" t="n">
        <x:v>0.56</x:v>
      </x:c>
      <x:c r="G582" s="7" t="n">
        <x:f>IF(OR(E582="",F582="",F582=0),"",ABS(E582-F582)/ABS(F582))</x:f>
        <x:v>0.10714285714285723</x:v>
      </x:c>
      <x:c r="H582" s="5" t="str">
        <x:v>TAALED</x:v>
      </x:c>
    </x:row>
    <x:row r="583">
      <x:c r="A583" s="5" t="str">
        <x:v>P7</x:v>
      </x:c>
      <x:c r="B583" s="5" t="str">
        <x:v>PXL_20230501_211259851_transcription.xlsx</x:v>
      </x:c>
      <x:c r="C583" s="5" t="str">
        <x:v>PXL_20230501_211259851_transcription_corrected.txt</x:v>
      </x:c>
      <x:c r="D583" s="5" t="str">
        <x:v>hdd42_aw</x:v>
      </x:c>
      <x:c r="E583" s="6" t="n">
        <x:v>0.554420355352918</x:v>
      </x:c>
      <x:c r="F583" s="6" t="n">
        <x:v>0.575286422824945</x:v>
      </x:c>
      <x:c r="G583" s="7" t="n">
        <x:f>IF(OR(E583="",F583="",F583=0),"",ABS(E583-F583)/ABS(F583))</x:f>
        <x:v>0.03627074556977054</x:v>
      </x:c>
      <x:c r="H583" s="5" t="str">
        <x:v>TAALED</x:v>
      </x:c>
    </x:row>
    <x:row r="584">
      <x:c r="A584" s="5" t="str">
        <x:v>P7</x:v>
      </x:c>
      <x:c r="B584" s="5" t="str">
        <x:v>PXL_20230501_211259851_transcription.xlsx</x:v>
      </x:c>
      <x:c r="C584" s="5" t="str">
        <x:v>PXL_20230501_211259851_transcription_corrected.txt</x:v>
      </x:c>
      <x:c r="D584" s="5" t="str">
        <x:v>mtld_original_aw</x:v>
      </x:c>
      <x:c r="E584" s="6" t="n">
        <x:v>17.428571428571427</x:v>
      </x:c>
      <x:c r="F584" s="6" t="n">
        <x:v>20.5</x:v>
      </x:c>
      <x:c r="G584" s="7" t="n">
        <x:f>IF(OR(E584="",F584="",F584=0),"",ABS(E584-F584)/ABS(F584))</x:f>
        <x:v>0.1498257839721255</x:v>
      </x:c>
      <x:c r="H584" s="5" t="str">
        <x:v>TAALED</x:v>
      </x:c>
    </x:row>
    <x:row r="585">
      <x:c r="A585" s="5" t="str">
        <x:v>P7</x:v>
      </x:c>
      <x:c r="B585" s="5" t="str">
        <x:v>PXL_20230501_211259851_transcription.xlsx</x:v>
      </x:c>
      <x:c r="C585" s="5" t="str">
        <x:v>PXL_20230501_211259851_transcription_corrected.txt</x:v>
      </x:c>
      <x:c r="D585" s="5" t="str">
        <x:v>mtld_mean_factor_length_aw</x:v>
      </x:c>
      <x:c r="E585" s="6" t="n">
        <x:v>16.214285714285715</x:v>
      </x:c>
      <x:c r="F585" s="6" t="n">
        <x:v>19.25</x:v>
      </x:c>
      <x:c r="G585" s="7" t="n">
        <x:f>IF(OR(E585="",F585="",F585=0),"",ABS(E585-F585)/ABS(F585))</x:f>
        <x:v>0.15769944341372907</x:v>
      </x:c>
      <x:c r="H585" s="5" t="str">
        <x:v>TAALED</x:v>
      </x:c>
    </x:row>
    <x:row r="586">
      <x:c r="A586" s="5" t="str">
        <x:v>P7</x:v>
      </x:c>
      <x:c r="B586" s="5" t="str">
        <x:v>PXL_20230501_211259851_transcription.xlsx</x:v>
      </x:c>
      <x:c r="C586" s="5" t="str">
        <x:v>PXL_20230501_211259851_transcription_corrected.txt</x:v>
      </x:c>
      <x:c r="D586" s="5" t="str">
        <x:v>total_utterances</x:v>
      </x:c>
      <x:c r="E586" s="6" t="n">
        <x:v>34</x:v>
      </x:c>
      <x:c r="F586" s="6" t="n">
        <x:v>35</x:v>
      </x:c>
      <x:c r="G586" s="7" t="n">
        <x:f>IF(OR(E586="",F586="",F586=0),"",ABS(E586-F586)/ABS(F586))</x:f>
        <x:v>0.02857142857142857</x:v>
      </x:c>
      <x:c r="H586" s="5" t="str">
        <x:v>CLAN</x:v>
      </x:c>
    </x:row>
    <x:row r="587">
      <x:c r="A587" s="5" t="str">
        <x:v>P7</x:v>
      </x:c>
      <x:c r="B587" s="5" t="str">
        <x:v>PXL_20230501_211259851_transcription.xlsx</x:v>
      </x:c>
      <x:c r="C587" s="5" t="str">
        <x:v>PXL_20230501_211259851_transcription_corrected.txt</x:v>
      </x:c>
      <x:c r="D587" s="5" t="str">
        <x:v>total_words</x:v>
      </x:c>
      <x:c r="E587" s="6" t="n">
        <x:v>102</x:v>
      </x:c>
      <x:c r="F587" s="6" t="n">
        <x:v>104</x:v>
      </x:c>
      <x:c r="G587" s="7" t="n">
        <x:f>IF(OR(E587="",F587="",F587=0),"",ABS(E587-F587)/ABS(F587))</x:f>
        <x:v>0.019230769230769232</x:v>
      </x:c>
      <x:c r="H587" s="5" t="str">
        <x:v>CLAN</x:v>
      </x:c>
    </x:row>
    <x:row r="588">
      <x:c r="A588" s="5" t="str">
        <x:v>P7</x:v>
      </x:c>
      <x:c r="B588" s="5" t="str">
        <x:v>PXL_20230501_211259851_transcription.xlsx</x:v>
      </x:c>
      <x:c r="C588" s="5" t="str">
        <x:v>PXL_20230501_211259851_transcription_corrected.txt</x:v>
      </x:c>
      <x:c r="D588" s="5" t="str">
        <x:v>mlu_words</x:v>
      </x:c>
      <x:c r="E588" s="6" t="n">
        <x:v>3</x:v>
      </x:c>
      <x:c r="F588" s="6" t="n">
        <x:v>2.971</x:v>
      </x:c>
      <x:c r="G588" s="7" t="n">
        <x:f>IF(OR(E588="",F588="",F588=0),"",ABS(E588-F588)/ABS(F588))</x:f>
        <x:v>0.009761023224503505</x:v>
      </x:c>
      <x:c r="H588" s="5" t="str">
        <x:v>CLAN</x:v>
      </x:c>
    </x:row>
    <x:row r="589">
      <x:c r="A589" s="5" t="str">
        <x:v>P7</x:v>
      </x:c>
      <x:c r="B589" s="5" t="str">
        <x:v>PXL_20230501_211259851_transcription.xlsx</x:v>
      </x:c>
      <x:c r="C589" s="5" t="str">
        <x:v>PXL_20230501_211259851_transcription_corrected.txt</x:v>
      </x:c>
      <x:c r="D589" s="5" t="str">
        <x:v>mlu_words_sd</x:v>
      </x:c>
      <x:c r="E589" s="6" t="n">
        <x:v>1.909727421264462</x:v>
      </x:c>
      <x:c r="F589" s="6" t="n">
        <x:v>1.748</x:v>
      </x:c>
      <x:c r="G589" s="7" t="n">
        <x:f>IF(OR(E589="",F589="",F589=0),"",ABS(E589-F589)/ABS(F589))</x:f>
        <x:v>0.09252140804603086</x:v>
      </x:c>
      <x:c r="H589" s="5" t="str">
        <x:v>CLAN</x:v>
      </x:c>
    </x:row>
    <x:row r="590">
      <x:c r="A590" s="5" t="str">
        <x:v>P7</x:v>
      </x:c>
      <x:c r="B590" s="5" t="str">
        <x:v>PXL_20230501_212057286_transcription.xlsx</x:v>
      </x:c>
      <x:c r="C590" s="5" t="str">
        <x:v>PXL_20230501_212057286_transcription_corrected.txt</x:v>
      </x:c>
      <x:c r="D590" s="5" t="str">
        <x:v>basic_ntokens</x:v>
      </x:c>
      <x:c r="E590" s="6" t="n">
        <x:v>367</x:v>
      </x:c>
      <x:c r="F590" s="6" t="n">
        <x:v>356</x:v>
      </x:c>
      <x:c r="G590" s="7" t="n">
        <x:f>IF(OR(E590="",F590="",F590=0),"",ABS(E590-F590)/ABS(F590))</x:f>
        <x:v>0.03089887640449438</x:v>
      </x:c>
      <x:c r="H590" s="5" t="str">
        <x:v>TAALED</x:v>
      </x:c>
    </x:row>
    <x:row r="591">
      <x:c r="A591" s="5" t="str">
        <x:v>P7</x:v>
      </x:c>
      <x:c r="B591" s="5" t="str">
        <x:v>PXL_20230501_212057286_transcription.xlsx</x:v>
      </x:c>
      <x:c r="C591" s="5" t="str">
        <x:v>PXL_20230501_212057286_transcription_corrected.txt</x:v>
      </x:c>
      <x:c r="D591" s="5" t="str">
        <x:v>basic_ntypes</x:v>
      </x:c>
      <x:c r="E591" s="6" t="n">
        <x:v>104</x:v>
      </x:c>
      <x:c r="F591" s="6" t="n">
        <x:v>107</x:v>
      </x:c>
      <x:c r="G591" s="7" t="n">
        <x:f>IF(OR(E591="",F591="",F591=0),"",ABS(E591-F591)/ABS(F591))</x:f>
        <x:v>0.028037383177570093</x:v>
      </x:c>
      <x:c r="H591" s="5" t="str">
        <x:v>TAALED</x:v>
      </x:c>
    </x:row>
    <x:row r="592">
      <x:c r="A592" s="5" t="str">
        <x:v>P7</x:v>
      </x:c>
      <x:c r="B592" s="5" t="str">
        <x:v>PXL_20230501_212057286_transcription.xlsx</x:v>
      </x:c>
      <x:c r="C592" s="5" t="str">
        <x:v>PXL_20230501_212057286_transcription_corrected.txt</x:v>
      </x:c>
      <x:c r="D592" s="5" t="str">
        <x:v>basic_ncontent_tokens</x:v>
      </x:c>
      <x:c r="E592" s="6" t="n">
        <x:v>126</x:v>
      </x:c>
      <x:c r="F592" s="6" t="n">
        <x:v>121</x:v>
      </x:c>
      <x:c r="G592" s="7" t="n">
        <x:f>IF(OR(E592="",F592="",F592=0),"",ABS(E592-F592)/ABS(F592))</x:f>
        <x:v>0.04132231404958678</x:v>
      </x:c>
      <x:c r="H592" s="5" t="str">
        <x:v>TAALED</x:v>
      </x:c>
    </x:row>
    <x:row r="593">
      <x:c r="A593" s="5" t="str">
        <x:v>P7</x:v>
      </x:c>
      <x:c r="B593" s="5" t="str">
        <x:v>PXL_20230501_212057286_transcription.xlsx</x:v>
      </x:c>
      <x:c r="C593" s="5" t="str">
        <x:v>PXL_20230501_212057286_transcription_corrected.txt</x:v>
      </x:c>
      <x:c r="D593" s="5" t="str">
        <x:v>basic_ncontent_types</x:v>
      </x:c>
      <x:c r="E593" s="6" t="n">
        <x:v>54</x:v>
      </x:c>
      <x:c r="F593" s="6" t="n">
        <x:v>56</x:v>
      </x:c>
      <x:c r="G593" s="7" t="n">
        <x:f>IF(OR(E593="",F593="",F593=0),"",ABS(E593-F593)/ABS(F593))</x:f>
        <x:v>0.03571428571428571</x:v>
      </x:c>
      <x:c r="H593" s="5" t="str">
        <x:v>TAALED</x:v>
      </x:c>
    </x:row>
    <x:row r="594">
      <x:c r="A594" s="5" t="str">
        <x:v>P7</x:v>
      </x:c>
      <x:c r="B594" s="5" t="str">
        <x:v>PXL_20230501_212057286_transcription.xlsx</x:v>
      </x:c>
      <x:c r="C594" s="5" t="str">
        <x:v>PXL_20230501_212057286_transcription_corrected.txt</x:v>
      </x:c>
      <x:c r="D594" s="5" t="str">
        <x:v>basic_nfunction_tokens</x:v>
      </x:c>
      <x:c r="E594" s="6" t="n">
        <x:v>241</x:v>
      </x:c>
      <x:c r="F594" s="6" t="n">
        <x:v>235</x:v>
      </x:c>
      <x:c r="G594" s="7" t="n">
        <x:f>IF(OR(E594="",F594="",F594=0),"",ABS(E594-F594)/ABS(F594))</x:f>
        <x:v>0.02553191489361702</x:v>
      </x:c>
      <x:c r="H594" s="5" t="str">
        <x:v>TAALED</x:v>
      </x:c>
    </x:row>
    <x:row r="595">
      <x:c r="A595" s="5" t="str">
        <x:v>P7</x:v>
      </x:c>
      <x:c r="B595" s="5" t="str">
        <x:v>PXL_20230501_212057286_transcription.xlsx</x:v>
      </x:c>
      <x:c r="C595" s="5" t="str">
        <x:v>PXL_20230501_212057286_transcription_corrected.txt</x:v>
      </x:c>
      <x:c r="D595" s="5" t="str">
        <x:v>basic_nfunction_types</x:v>
      </x:c>
      <x:c r="E595" s="6" t="n">
        <x:v>50</x:v>
      </x:c>
      <x:c r="F595" s="6" t="n">
        <x:v>51</x:v>
      </x:c>
      <x:c r="G595" s="7" t="n">
        <x:f>IF(OR(E595="",F595="",F595=0),"",ABS(E595-F595)/ABS(F595))</x:f>
        <x:v>0.0196078431372549</x:v>
      </x:c>
      <x:c r="H595" s="5" t="str">
        <x:v>TAALED</x:v>
      </x:c>
    </x:row>
    <x:row r="596">
      <x:c r="A596" s="5" t="str">
        <x:v>P7</x:v>
      </x:c>
      <x:c r="B596" s="5" t="str">
        <x:v>PXL_20230501_212057286_transcription.xlsx</x:v>
      </x:c>
      <x:c r="C596" s="5" t="str">
        <x:v>PXL_20230501_212057286_transcription_corrected.txt</x:v>
      </x:c>
      <x:c r="D596" s="5" t="str">
        <x:v>lexical_density_tokens</x:v>
      </x:c>
      <x:c r="E596" s="6" t="n">
        <x:v>0.34332425068119893</x:v>
      </x:c>
      <x:c r="F596" s="6" t="n">
        <x:v>0.3398876404494382</x:v>
      </x:c>
      <x:c r="G596" s="7" t="n">
        <x:f>IF(OR(E596="",F596="",F596=0),"",ABS(E596-F596)/ABS(F596))</x:f>
        <x:v>0.010111018533114208</x:v>
      </x:c>
      <x:c r="H596" s="5" t="str">
        <x:v>TAALED</x:v>
      </x:c>
    </x:row>
    <x:row r="597">
      <x:c r="A597" s="5" t="str">
        <x:v>P7</x:v>
      </x:c>
      <x:c r="B597" s="5" t="str">
        <x:v>PXL_20230501_212057286_transcription.xlsx</x:v>
      </x:c>
      <x:c r="C597" s="5" t="str">
        <x:v>PXL_20230501_212057286_transcription_corrected.txt</x:v>
      </x:c>
      <x:c r="D597" s="5" t="str">
        <x:v>lexical_density_types</x:v>
      </x:c>
      <x:c r="E597" s="6" t="n">
        <x:v>0.5192307692307693</x:v>
      </x:c>
      <x:c r="F597" s="6" t="n">
        <x:v>0.5233644859813084</x:v>
      </x:c>
      <x:c r="G597" s="7" t="n">
        <x:f>IF(OR(E597="",F597="",F597=0),"",ABS(E597-F597)/ABS(F597))</x:f>
        <x:v>0.007898351648351466</x:v>
      </x:c>
      <x:c r="H597" s="5" t="str">
        <x:v>TAALED</x:v>
      </x:c>
    </x:row>
    <x:row r="598">
      <x:c r="A598" s="5" t="str">
        <x:v>P7</x:v>
      </x:c>
      <x:c r="B598" s="5" t="str">
        <x:v>PXL_20230501_212057286_transcription.xlsx</x:v>
      </x:c>
      <x:c r="C598" s="5" t="str">
        <x:v>PXL_20230501_212057286_transcription_corrected.txt</x:v>
      </x:c>
      <x:c r="D598" s="5" t="str">
        <x:v>simple_ttr_aw</x:v>
      </x:c>
      <x:c r="E598" s="6" t="n">
        <x:v>0.28337874659400547</x:v>
      </x:c>
      <x:c r="F598" s="6" t="n">
        <x:v>0.300561797752809</x:v>
      </x:c>
      <x:c r="G598" s="7" t="n">
        <x:f>IF(OR(E598="",F598="",F598=0),"",ABS(E598-F598)/ABS(F598))</x:f>
        <x:v>0.05716977768723418</x:v>
      </x:c>
      <x:c r="H598" s="5" t="str">
        <x:v>TAALED</x:v>
      </x:c>
    </x:row>
    <x:row r="599">
      <x:c r="A599" s="5" t="str">
        <x:v>P7</x:v>
      </x:c>
      <x:c r="B599" s="5" t="str">
        <x:v>PXL_20230501_212057286_transcription.xlsx</x:v>
      </x:c>
      <x:c r="C599" s="5" t="str">
        <x:v>PXL_20230501_212057286_transcription_corrected.txt</x:v>
      </x:c>
      <x:c r="D599" s="5" t="str">
        <x:v>root_ttr_aw</x:v>
      </x:c>
      <x:c r="E599" s="6" t="n">
        <x:v>5.428755810107558</x:v>
      </x:c>
      <x:c r="F599" s="6" t="n">
        <x:v>5.670988658034026</x:v>
      </x:c>
      <x:c r="G599" s="7" t="n">
        <x:f>IF(OR(E599="",F599="",F599=0),"",ABS(E599-F599)/ABS(F599))</x:f>
        <x:v>0.04271439470846051</x:v>
      </x:c>
      <x:c r="H599" s="5" t="str">
        <x:v>TAALED</x:v>
      </x:c>
    </x:row>
    <x:row r="600">
      <x:c r="A600" s="5" t="str">
        <x:v>P7</x:v>
      </x:c>
      <x:c r="B600" s="5" t="str">
        <x:v>PXL_20230501_212057286_transcription.xlsx</x:v>
      </x:c>
      <x:c r="C600" s="5" t="str">
        <x:v>PXL_20230501_212057286_transcription_corrected.txt</x:v>
      </x:c>
      <x:c r="D600" s="5" t="str">
        <x:v>log_ttr_aw</x:v>
      </x:c>
      <x:c r="E600" s="6" t="n">
        <x:v>0.7864701636651436</x:v>
      </x:c>
      <x:c r="F600" s="6" t="n">
        <x:v>0.7953844987350539</x:v>
      </x:c>
      <x:c r="G600" s="7" t="n">
        <x:f>IF(OR(E600="",F600="",F600=0),"",ABS(E600-F600)/ABS(F600))</x:f>
        <x:v>0.011207579584574925</x:v>
      </x:c>
      <x:c r="H600" s="5" t="str">
        <x:v>TAALED</x:v>
      </x:c>
    </x:row>
    <x:row r="601">
      <x:c r="A601" s="5" t="str">
        <x:v>P7</x:v>
      </x:c>
      <x:c r="B601" s="5" t="str">
        <x:v>PXL_20230501_212057286_transcription.xlsx</x:v>
      </x:c>
      <x:c r="C601" s="5" t="str">
        <x:v>PXL_20230501_212057286_transcription_corrected.txt</x:v>
      </x:c>
      <x:c r="D601" s="5" t="str">
        <x:v>maas_ttr_aw</x:v>
      </x:c>
      <x:c r="E601" s="6" t="n">
        <x:v>0.08325833889689115</x:v>
      </x:c>
      <x:c r="F601" s="6" t="n">
        <x:v>0.08019577159164903</x:v>
      </x:c>
      <x:c r="G601" s="7" t="n">
        <x:f>IF(OR(E601="",F601="",F601=0),"",ABS(E601-F601)/ABS(F601))</x:f>
        <x:v>0.03818863818452273</x:v>
      </x:c>
      <x:c r="H601" s="5" t="str">
        <x:v>TAALED</x:v>
      </x:c>
    </x:row>
    <x:row r="602">
      <x:c r="A602" s="5" t="str">
        <x:v>P7</x:v>
      </x:c>
      <x:c r="B602" s="5" t="str">
        <x:v>PXL_20230501_212057286_transcription.xlsx</x:v>
      </x:c>
      <x:c r="C602" s="5" t="str">
        <x:v>PXL_20230501_212057286_transcription_corrected.txt</x:v>
      </x:c>
      <x:c r="D602" s="5" t="str">
        <x:v>mattr50_aw</x:v>
      </x:c>
      <x:c r="E602" s="6" t="n">
        <x:v>0.5940880503144654</x:v>
      </x:c>
      <x:c r="F602" s="6" t="n">
        <x:v>0.6039739413680781</x:v>
      </x:c>
      <x:c r="G602" s="7" t="n">
        <x:f>IF(OR(E602="",F602="",F602=0),"",ABS(E602-F602)/ABS(F602))</x:f>
        <x:v>0.016368075468984472</x:v>
      </x:c>
      <x:c r="H602" s="5" t="str">
        <x:v>TAALED</x:v>
      </x:c>
    </x:row>
    <x:row r="603">
      <x:c r="A603" s="5" t="str">
        <x:v>P7</x:v>
      </x:c>
      <x:c r="B603" s="5" t="str">
        <x:v>PXL_20230501_212057286_transcription.xlsx</x:v>
      </x:c>
      <x:c r="C603" s="5" t="str">
        <x:v>PXL_20230501_212057286_transcription_corrected.txt</x:v>
      </x:c>
      <x:c r="D603" s="5" t="str">
        <x:v>msttr50_aw</x:v>
      </x:c>
      <x:c r="E603" s="6" t="n">
        <x:v>0.6028571428571429</x:v>
      </x:c>
      <x:c r="F603" s="6" t="n">
        <x:v>0.6171428571428572</x:v>
      </x:c>
      <x:c r="G603" s="7" t="n">
        <x:f>IF(OR(E603="",F603="",F603=0),"",ABS(E603-F603)/ABS(F603))</x:f>
        <x:v>0.023148148148148244</x:v>
      </x:c>
      <x:c r="H603" s="5" t="str">
        <x:v>TAALED</x:v>
      </x:c>
    </x:row>
    <x:row r="604">
      <x:c r="A604" s="5" t="str">
        <x:v>P7</x:v>
      </x:c>
      <x:c r="B604" s="5" t="str">
        <x:v>PXL_20230501_212057286_transcription.xlsx</x:v>
      </x:c>
      <x:c r="C604" s="5" t="str">
        <x:v>PXL_20230501_212057286_transcription_corrected.txt</x:v>
      </x:c>
      <x:c r="D604" s="5" t="str">
        <x:v>hdd42_aw</x:v>
      </x:c>
      <x:c r="E604" s="6" t="n">
        <x:v>0.6868823681584316</x:v>
      </x:c>
      <x:c r="F604" s="6" t="n">
        <x:v>0.6914845027904288</x:v>
      </x:c>
      <x:c r="G604" s="7" t="n">
        <x:f>IF(OR(E604="",F604="",F604=0),"",ABS(E604-F604)/ABS(F604))</x:f>
        <x:v>0.0066554414645963525</x:v>
      </x:c>
      <x:c r="H604" s="5" t="str">
        <x:v>TAALED</x:v>
      </x:c>
    </x:row>
    <x:row r="605">
      <x:c r="A605" s="5" t="str">
        <x:v>P7</x:v>
      </x:c>
      <x:c r="B605" s="5" t="str">
        <x:v>PXL_20230501_212057286_transcription.xlsx</x:v>
      </x:c>
      <x:c r="C605" s="5" t="str">
        <x:v>PXL_20230501_212057286_transcription_corrected.txt</x:v>
      </x:c>
      <x:c r="D605" s="5" t="str">
        <x:v>mtld_original_aw</x:v>
      </x:c>
      <x:c r="E605" s="6" t="n">
        <x:v>28.932349736060416</x:v>
      </x:c>
      <x:c r="F605" s="6" t="n">
        <x:v>28.30643097880604</x:v>
      </x:c>
      <x:c r="G605" s="7" t="n">
        <x:f>IF(OR(E605="",F605="",F605=0),"",ABS(E605-F605)/ABS(F605))</x:f>
        <x:v>0.02211224571981615</x:v>
      </x:c>
      <x:c r="H605" s="5" t="str">
        <x:v>TAALED</x:v>
      </x:c>
    </x:row>
    <x:row r="606">
      <x:c r="A606" s="5" t="str">
        <x:v>P7</x:v>
      </x:c>
      <x:c r="B606" s="5" t="str">
        <x:v>PXL_20230501_212057286_transcription.xlsx</x:v>
      </x:c>
      <x:c r="C606" s="5" t="str">
        <x:v>PXL_20230501_212057286_transcription_corrected.txt</x:v>
      </x:c>
      <x:c r="D606" s="5" t="str">
        <x:v>mtld_mean_factor_length_aw</x:v>
      </x:c>
      <x:c r="E606" s="6" t="n">
        <x:v>29.029692307692308</x:v>
      </x:c>
      <x:c r="F606" s="6" t="n">
        <x:v>29.032222222222224</x:v>
      </x:c>
      <x:c r="G606" s="7" t="n">
        <x:f>IF(OR(E606="",F606="",F606=0),"",ABS(E606-F606)/ABS(F606))</x:f>
        <x:v>0.00008714160805710972</x:v>
      </x:c>
      <x:c r="H606" s="5" t="str">
        <x:v>TAALED</x:v>
      </x:c>
    </x:row>
    <x:row r="607">
      <x:c r="A607" s="5" t="str">
        <x:v>P7</x:v>
      </x:c>
      <x:c r="B607" s="5" t="str">
        <x:v>PXL_20230501_212057286_transcription.xlsx</x:v>
      </x:c>
      <x:c r="C607" s="5" t="str">
        <x:v>PXL_20230501_212057286_transcription_corrected.txt</x:v>
      </x:c>
      <x:c r="D607" s="5" t="str">
        <x:v>total_utterances</x:v>
      </x:c>
      <x:c r="E607" s="6" t="n">
        <x:v>117</x:v>
      </x:c>
      <x:c r="F607" s="6" t="n">
        <x:v>111</x:v>
      </x:c>
      <x:c r="G607" s="7" t="n">
        <x:f>IF(OR(E607="",F607="",F607=0),"",ABS(E607-F607)/ABS(F607))</x:f>
        <x:v>0.05405405405405406</x:v>
      </x:c>
      <x:c r="H607" s="5" t="str">
        <x:v>CLAN</x:v>
      </x:c>
    </x:row>
    <x:row r="608">
      <x:c r="A608" s="5" t="str">
        <x:v>P7</x:v>
      </x:c>
      <x:c r="B608" s="5" t="str">
        <x:v>PXL_20230501_212057286_transcription.xlsx</x:v>
      </x:c>
      <x:c r="C608" s="5" t="str">
        <x:v>PXL_20230501_212057286_transcription_corrected.txt</x:v>
      </x:c>
      <x:c r="D608" s="5" t="str">
        <x:v>total_words</x:v>
      </x:c>
      <x:c r="E608" s="6" t="n">
        <x:v>342</x:v>
      </x:c>
      <x:c r="F608" s="6" t="n">
        <x:v>337</x:v>
      </x:c>
      <x:c r="G608" s="7" t="n">
        <x:f>IF(OR(E608="",F608="",F608=0),"",ABS(E608-F608)/ABS(F608))</x:f>
        <x:v>0.01483679525222552</x:v>
      </x:c>
      <x:c r="H608" s="5" t="str">
        <x:v>CLAN</x:v>
      </x:c>
    </x:row>
    <x:row r="609">
      <x:c r="A609" s="5" t="str">
        <x:v>P7</x:v>
      </x:c>
      <x:c r="B609" s="5" t="str">
        <x:v>PXL_20230501_212057286_transcription.xlsx</x:v>
      </x:c>
      <x:c r="C609" s="5" t="str">
        <x:v>PXL_20230501_212057286_transcription_corrected.txt</x:v>
      </x:c>
      <x:c r="D609" s="5" t="str">
        <x:v>mlu_words</x:v>
      </x:c>
      <x:c r="E609" s="6" t="n">
        <x:v>2.923076923076923</x:v>
      </x:c>
      <x:c r="F609" s="6" t="n">
        <x:v>3.036</x:v>
      </x:c>
      <x:c r="G609" s="7" t="n">
        <x:f>IF(OR(E609="",F609="",F609=0),"",ABS(E609-F609)/ABS(F609))</x:f>
        <x:v>0.03719468936860248</x:v>
      </x:c>
      <x:c r="H609" s="5" t="str">
        <x:v>CLAN</x:v>
      </x:c>
    </x:row>
    <x:row r="610">
      <x:c r="A610" s="5" t="str">
        <x:v>P7</x:v>
      </x:c>
      <x:c r="B610" s="5" t="str">
        <x:v>PXL_20230501_212057286_transcription.xlsx</x:v>
      </x:c>
      <x:c r="C610" s="5" t="str">
        <x:v>PXL_20230501_212057286_transcription_corrected.txt</x:v>
      </x:c>
      <x:c r="D610" s="5" t="str">
        <x:v>mlu_words_sd</x:v>
      </x:c>
      <x:c r="E610" s="6" t="n">
        <x:v>2.1961654467039855</x:v>
      </x:c>
      <x:c r="F610" s="6" t="n">
        <x:v>2.507</x:v>
      </x:c>
      <x:c r="G610" s="7" t="n">
        <x:f>IF(OR(E610="",F610="",F610=0),"",ABS(E610-F610)/ABS(F610))</x:f>
        <x:v>0.1239866586741183</x:v>
      </x:c>
      <x:c r="H610" s="5" t="str">
        <x:v>CLAN</x:v>
      </x:c>
    </x:row>
    <x:row r="611">
      <x:c r="A611" s="5" t="str">
        <x:v>P8</x:v>
      </x:c>
      <x:c r="B611" s="5" t="str">
        <x:v>PXL_20230504_211646717_transcription.xlsx</x:v>
      </x:c>
      <x:c r="C611" s="5" t="str">
        <x:v>PXL_20230504_211646717_transcription_corrected.txt</x:v>
      </x:c>
      <x:c r="D611" s="5" t="str">
        <x:v>basic_ntokens</x:v>
      </x:c>
      <x:c r="E611" s="6" t="n">
        <x:v>924</x:v>
      </x:c>
      <x:c r="F611" s="6" t="n">
        <x:v>922</x:v>
      </x:c>
      <x:c r="G611" s="7" t="n">
        <x:f>IF(OR(E611="",F611="",F611=0),"",ABS(E611-F611)/ABS(F611))</x:f>
        <x:v>0.0021691973969631237</x:v>
      </x:c>
      <x:c r="H611" s="5" t="str">
        <x:v>TAALED</x:v>
      </x:c>
    </x:row>
    <x:row r="612">
      <x:c r="A612" s="5" t="str">
        <x:v>P8</x:v>
      </x:c>
      <x:c r="B612" s="5" t="str">
        <x:v>PXL_20230504_211646717_transcription.xlsx</x:v>
      </x:c>
      <x:c r="C612" s="5" t="str">
        <x:v>PXL_20230504_211646717_transcription_corrected.txt</x:v>
      </x:c>
      <x:c r="D612" s="5" t="str">
        <x:v>basic_ntypes</x:v>
      </x:c>
      <x:c r="E612" s="6" t="n">
        <x:v>281</x:v>
      </x:c>
      <x:c r="F612" s="6" t="n">
        <x:v>281</x:v>
      </x:c>
      <x:c r="G612" s="7" t="n">
        <x:f>IF(OR(E612="",F612="",F612=0),"",ABS(E612-F612)/ABS(F612))</x:f>
        <x:v>0</x:v>
      </x:c>
      <x:c r="H612" s="5" t="str">
        <x:v>TAALED</x:v>
      </x:c>
    </x:row>
    <x:row r="613">
      <x:c r="A613" s="5" t="str">
        <x:v>P8</x:v>
      </x:c>
      <x:c r="B613" s="5" t="str">
        <x:v>PXL_20230504_211646717_transcription.xlsx</x:v>
      </x:c>
      <x:c r="C613" s="5" t="str">
        <x:v>PXL_20230504_211646717_transcription_corrected.txt</x:v>
      </x:c>
      <x:c r="D613" s="5" t="str">
        <x:v>basic_ncontent_tokens</x:v>
      </x:c>
      <x:c r="E613" s="6" t="n">
        <x:v>345</x:v>
      </x:c>
      <x:c r="F613" s="6" t="n">
        <x:v>348</x:v>
      </x:c>
      <x:c r="G613" s="7" t="n">
        <x:f>IF(OR(E613="",F613="",F613=0),"",ABS(E613-F613)/ABS(F613))</x:f>
        <x:v>0.008620689655172414</x:v>
      </x:c>
      <x:c r="H613" s="5" t="str">
        <x:v>TAALED</x:v>
      </x:c>
    </x:row>
    <x:row r="614">
      <x:c r="A614" s="5" t="str">
        <x:v>P8</x:v>
      </x:c>
      <x:c r="B614" s="5" t="str">
        <x:v>PXL_20230504_211646717_transcription.xlsx</x:v>
      </x:c>
      <x:c r="C614" s="5" t="str">
        <x:v>PXL_20230504_211646717_transcription_corrected.txt</x:v>
      </x:c>
      <x:c r="D614" s="5" t="str">
        <x:v>basic_ncontent_types</x:v>
      </x:c>
      <x:c r="E614" s="6" t="n">
        <x:v>180</x:v>
      </x:c>
      <x:c r="F614" s="6" t="n">
        <x:v>180</x:v>
      </x:c>
      <x:c r="G614" s="7" t="n">
        <x:f>IF(OR(E614="",F614="",F614=0),"",ABS(E614-F614)/ABS(F614))</x:f>
        <x:v>0</x:v>
      </x:c>
      <x:c r="H614" s="5" t="str">
        <x:v>TAALED</x:v>
      </x:c>
    </x:row>
    <x:row r="615">
      <x:c r="A615" s="5" t="str">
        <x:v>P8</x:v>
      </x:c>
      <x:c r="B615" s="5" t="str">
        <x:v>PXL_20230504_211646717_transcription.xlsx</x:v>
      </x:c>
      <x:c r="C615" s="5" t="str">
        <x:v>PXL_20230504_211646717_transcription_corrected.txt</x:v>
      </x:c>
      <x:c r="D615" s="5" t="str">
        <x:v>basic_nfunction_tokens</x:v>
      </x:c>
      <x:c r="E615" s="6" t="n">
        <x:v>579</x:v>
      </x:c>
      <x:c r="F615" s="6" t="n">
        <x:v>574</x:v>
      </x:c>
      <x:c r="G615" s="7" t="n">
        <x:f>IF(OR(E615="",F615="",F615=0),"",ABS(E615-F615)/ABS(F615))</x:f>
        <x:v>0.008710801393728223</x:v>
      </x:c>
      <x:c r="H615" s="5" t="str">
        <x:v>TAALED</x:v>
      </x:c>
    </x:row>
    <x:row r="616">
      <x:c r="A616" s="5" t="str">
        <x:v>P8</x:v>
      </x:c>
      <x:c r="B616" s="5" t="str">
        <x:v>PXL_20230504_211646717_transcription.xlsx</x:v>
      </x:c>
      <x:c r="C616" s="5" t="str">
        <x:v>PXL_20230504_211646717_transcription_corrected.txt</x:v>
      </x:c>
      <x:c r="D616" s="5" t="str">
        <x:v>basic_nfunction_types</x:v>
      </x:c>
      <x:c r="E616" s="6" t="n">
        <x:v>101</x:v>
      </x:c>
      <x:c r="F616" s="6" t="n">
        <x:v>101</x:v>
      </x:c>
      <x:c r="G616" s="7" t="n">
        <x:f>IF(OR(E616="",F616="",F616=0),"",ABS(E616-F616)/ABS(F616))</x:f>
        <x:v>0</x:v>
      </x:c>
      <x:c r="H616" s="5" t="str">
        <x:v>TAALED</x:v>
      </x:c>
    </x:row>
    <x:row r="617">
      <x:c r="A617" s="5" t="str">
        <x:v>P8</x:v>
      </x:c>
      <x:c r="B617" s="5" t="str">
        <x:v>PXL_20230504_211646717_transcription.xlsx</x:v>
      </x:c>
      <x:c r="C617" s="5" t="str">
        <x:v>PXL_20230504_211646717_transcription_corrected.txt</x:v>
      </x:c>
      <x:c r="D617" s="5" t="str">
        <x:v>lexical_density_tokens</x:v>
      </x:c>
      <x:c r="E617" s="6" t="n">
        <x:v>0.37337662337662336</x:v>
      </x:c>
      <x:c r="F617" s="6" t="n">
        <x:v>0.3774403470715835</x:v>
      </x:c>
      <x:c r="G617" s="7" t="n">
        <x:f>IF(OR(E617="",F617="",F617=0),"",ABS(E617-F617)/ABS(F617))</x:f>
        <x:v>0.010766532318256526</x:v>
      </x:c>
      <x:c r="H617" s="5" t="str">
        <x:v>TAALED</x:v>
      </x:c>
    </x:row>
    <x:row r="618">
      <x:c r="A618" s="5" t="str">
        <x:v>P8</x:v>
      </x:c>
      <x:c r="B618" s="5" t="str">
        <x:v>PXL_20230504_211646717_transcription.xlsx</x:v>
      </x:c>
      <x:c r="C618" s="5" t="str">
        <x:v>PXL_20230504_211646717_transcription_corrected.txt</x:v>
      </x:c>
      <x:c r="D618" s="5" t="str">
        <x:v>lexical_density_types</x:v>
      </x:c>
      <x:c r="E618" s="6" t="n">
        <x:v>0.6405693950177936</x:v>
      </x:c>
      <x:c r="F618" s="6" t="n">
        <x:v>0.6405693950177936</x:v>
      </x:c>
      <x:c r="G618" s="7" t="n">
        <x:f>IF(OR(E618="",F618="",F618=0),"",ABS(E618-F618)/ABS(F618))</x:f>
        <x:v>0</x:v>
      </x:c>
      <x:c r="H618" s="5" t="str">
        <x:v>TAALED</x:v>
      </x:c>
    </x:row>
    <x:row r="619">
      <x:c r="A619" s="5" t="str">
        <x:v>P8</x:v>
      </x:c>
      <x:c r="B619" s="5" t="str">
        <x:v>PXL_20230504_211646717_transcription.xlsx</x:v>
      </x:c>
      <x:c r="C619" s="5" t="str">
        <x:v>PXL_20230504_211646717_transcription_corrected.txt</x:v>
      </x:c>
      <x:c r="D619" s="5" t="str">
        <x:v>simple_ttr_aw</x:v>
      </x:c>
      <x:c r="E619" s="6" t="n">
        <x:v>0.3041125541125541</x:v>
      </x:c>
      <x:c r="F619" s="6" t="n">
        <x:v>0.3047722342733189</x:v>
      </x:c>
      <x:c r="G619" s="7" t="n">
        <x:f>IF(OR(E619="",F619="",F619=0),"",ABS(E619-F619)/ABS(F619))</x:f>
        <x:v>0.002164502164502252</x:v>
      </x:c>
      <x:c r="H619" s="5" t="str">
        <x:v>TAALED</x:v>
      </x:c>
    </x:row>
    <x:row r="620">
      <x:c r="A620" s="5" t="str">
        <x:v>P8</x:v>
      </x:c>
      <x:c r="B620" s="5" t="str">
        <x:v>PXL_20230504_211646717_transcription.xlsx</x:v>
      </x:c>
      <x:c r="C620" s="5" t="str">
        <x:v>PXL_20230504_211646717_transcription_corrected.txt</x:v>
      </x:c>
      <x:c r="D620" s="5" t="str">
        <x:v>root_ttr_aw</x:v>
      </x:c>
      <x:c r="E620" s="6" t="n">
        <x:v>9.244221314184754</x:v>
      </x:c>
      <x:c r="F620" s="6" t="n">
        <x:v>9.254242153239918</x:v>
      </x:c>
      <x:c r="G620" s="7" t="n">
        <x:f>IF(OR(E620="",F620="",F620=0),"",ABS(E620-F620)/ABS(F620))</x:f>
        <x:v>0.0010828373506149964</x:v>
      </x:c>
      <x:c r="H620" s="5" t="str">
        <x:v>TAALED</x:v>
      </x:c>
    </x:row>
    <x:row r="621">
      <x:c r="A621" s="5" t="str">
        <x:v>P8</x:v>
      </x:c>
      <x:c r="B621" s="5" t="str">
        <x:v>PXL_20230504_211646717_transcription.xlsx</x:v>
      </x:c>
      <x:c r="C621" s="5" t="str">
        <x:v>PXL_20230504_211646717_transcription_corrected.txt</x:v>
      </x:c>
      <x:c r="D621" s="5" t="str">
        <x:v>log_ttr_aw</x:v>
      </x:c>
      <x:c r="E621" s="6" t="n">
        <x:v>0.8256834685926704</x:v>
      </x:c>
      <x:c r="F621" s="6" t="n">
        <x:v>0.8259455529390302</x:v>
      </x:c>
      <x:c r="G621" s="7" t="n">
        <x:f>IF(OR(E621="",F621="",F621=0),"",ABS(E621-F621)/ABS(F621))</x:f>
        <x:v>0.00031731431379123433</x:v>
      </x:c>
      <x:c r="H621" s="5" t="str">
        <x:v>TAALED</x:v>
      </x:c>
    </x:row>
    <x:row r="622">
      <x:c r="A622" s="5" t="str">
        <x:v>P8</x:v>
      </x:c>
      <x:c r="B622" s="5" t="str">
        <x:v>PXL_20230504_211646717_transcription.xlsx</x:v>
      </x:c>
      <x:c r="C622" s="5" t="str">
        <x:v>PXL_20230504_211646717_transcription_corrected.txt</x:v>
      </x:c>
      <x:c r="D622" s="5" t="str">
        <x:v>maas_ttr_aw</x:v>
      </x:c>
      <x:c r="E622" s="6" t="n">
        <x:v>0.058778089114020944</x:v>
      </x:c>
      <x:c r="F622" s="6" t="n">
        <x:v>0.05870834544374539</x:v>
      </x:c>
      <x:c r="G622" s="7" t="n">
        <x:f>IF(OR(E622="",F622="",F622=0),"",ABS(E622-F622)/ABS(F622))</x:f>
        <x:v>0.0011879685885950082</x:v>
      </x:c>
      <x:c r="H622" s="5" t="str">
        <x:v>TAALED</x:v>
      </x:c>
    </x:row>
    <x:row r="623">
      <x:c r="A623" s="5" t="str">
        <x:v>P8</x:v>
      </x:c>
      <x:c r="B623" s="5" t="str">
        <x:v>PXL_20230504_211646717_transcription.xlsx</x:v>
      </x:c>
      <x:c r="C623" s="5" t="str">
        <x:v>PXL_20230504_211646717_transcription_corrected.txt</x:v>
      </x:c>
      <x:c r="D623" s="5" t="str">
        <x:v>mattr50_aw</x:v>
      </x:c>
      <x:c r="E623" s="6" t="n">
        <x:v>0.6705142857142857</x:v>
      </x:c>
      <x:c r="F623" s="6" t="n">
        <x:v>0.671958762886598</x:v>
      </x:c>
      <x:c r="G623" s="7" t="n">
        <x:f>IF(OR(E623="",F623="",F623=0),"",ABS(E623-F623)/ABS(F623))</x:f>
        <x:v>0.0021496515144873475</x:v>
      </x:c>
      <x:c r="H623" s="5" t="str">
        <x:v>TAALED</x:v>
      </x:c>
    </x:row>
    <x:row r="624">
      <x:c r="A624" s="5" t="str">
        <x:v>P8</x:v>
      </x:c>
      <x:c r="B624" s="5" t="str">
        <x:v>PXL_20230504_211646717_transcription.xlsx</x:v>
      </x:c>
      <x:c r="C624" s="5" t="str">
        <x:v>PXL_20230504_211646717_transcription_corrected.txt</x:v>
      </x:c>
      <x:c r="D624" s="5" t="str">
        <x:v>msttr50_aw</x:v>
      </x:c>
      <x:c r="E624" s="6" t="n">
        <x:v>0.67</x:v>
      </x:c>
      <x:c r="F624" s="6" t="n">
        <x:v>0.6733333333333333</x:v>
      </x:c>
      <x:c r="G624" s="7" t="n">
        <x:f>IF(OR(E624="",F624="",F624=0),"",ABS(E624-F624)/ABS(F624))</x:f>
        <x:v>0.0049504950495049</x:v>
      </x:c>
      <x:c r="H624" s="5" t="str">
        <x:v>TAALED</x:v>
      </x:c>
    </x:row>
    <x:row r="625">
      <x:c r="A625" s="5" t="str">
        <x:v>P8</x:v>
      </x:c>
      <x:c r="B625" s="5" t="str">
        <x:v>PXL_20230504_211646717_transcription.xlsx</x:v>
      </x:c>
      <x:c r="C625" s="5" t="str">
        <x:v>PXL_20230504_211646717_transcription_corrected.txt</x:v>
      </x:c>
      <x:c r="D625" s="5" t="str">
        <x:v>hdd42_aw</x:v>
      </x:c>
      <x:c r="E625" s="6" t="n">
        <x:v>0.7717426540907344</x:v>
      </x:c>
      <x:c r="F625" s="6" t="n">
        <x:v>0.773748202530709</x:v>
      </x:c>
      <x:c r="G625" s="7" t="n">
        <x:f>IF(OR(E625="",F625="",F625=0),"",ABS(E625-F625)/ABS(F625))</x:f>
        <x:v>0.0025919910810971907</x:v>
      </x:c>
      <x:c r="H625" s="5" t="str">
        <x:v>TAALED</x:v>
      </x:c>
    </x:row>
    <x:row r="626">
      <x:c r="A626" s="5" t="str">
        <x:v>P8</x:v>
      </x:c>
      <x:c r="B626" s="5" t="str">
        <x:v>PXL_20230504_211646717_transcription.xlsx</x:v>
      </x:c>
      <x:c r="C626" s="5" t="str">
        <x:v>PXL_20230504_211646717_transcription_corrected.txt</x:v>
      </x:c>
      <x:c r="D626" s="5" t="str">
        <x:v>mtld_original_aw</x:v>
      </x:c>
      <x:c r="E626" s="6" t="n">
        <x:v>34.39575881052495</x:v>
      </x:c>
      <x:c r="F626" s="6" t="n">
        <x:v>34.94237428467065</x:v>
      </x:c>
      <x:c r="G626" s="7" t="n">
        <x:f>IF(OR(E626="",F626="",F626=0),"",ABS(E626-F626)/ABS(F626))</x:f>
        <x:v>0.01564334093878384</x:v>
      </x:c>
      <x:c r="H626" s="5" t="str">
        <x:v>TAALED</x:v>
      </x:c>
    </x:row>
    <x:row r="627">
      <x:c r="A627" s="5" t="str">
        <x:v>P8</x:v>
      </x:c>
      <x:c r="B627" s="5" t="str">
        <x:v>PXL_20230504_211646717_transcription.xlsx</x:v>
      </x:c>
      <x:c r="C627" s="5" t="str">
        <x:v>PXL_20230504_211646717_transcription_corrected.txt</x:v>
      </x:c>
      <x:c r="D627" s="5" t="str">
        <x:v>mtld_mean_factor_length_aw</x:v>
      </x:c>
      <x:c r="E627" s="6" t="n">
        <x:v>34.44122507122507</x:v>
      </x:c>
      <x:c r="F627" s="6" t="n">
        <x:v>34.56418524871355</x:v>
      </x:c>
      <x:c r="G627" s="7" t="n">
        <x:f>IF(OR(E627="",F627="",F627=0),"",ABS(E627-F627)/ABS(F627))</x:f>
        <x:v>0.003557444696112325</x:v>
      </x:c>
      <x:c r="H627" s="5" t="str">
        <x:v>TAALED</x:v>
      </x:c>
    </x:row>
    <x:row r="628">
      <x:c r="A628" s="5" t="str">
        <x:v>P8</x:v>
      </x:c>
      <x:c r="B628" s="5" t="str">
        <x:v>PXL_20230504_211646717_transcription.xlsx</x:v>
      </x:c>
      <x:c r="C628" s="5" t="str">
        <x:v>PXL_20230504_211646717_transcription_corrected.txt</x:v>
      </x:c>
      <x:c r="D628" s="5" t="str">
        <x:v>total_utterances</x:v>
      </x:c>
      <x:c r="E628" s="6" t="n">
        <x:v>93</x:v>
      </x:c>
      <x:c r="F628" s="6" t="n">
        <x:v>63</x:v>
      </x:c>
      <x:c r="G628" s="7" t="n">
        <x:f>IF(OR(E628="",F628="",F628=0),"",ABS(E628-F628)/ABS(F628))</x:f>
        <x:v>0.47619047619047616</x:v>
      </x:c>
      <x:c r="H628" s="5" t="str">
        <x:v>CLAN</x:v>
      </x:c>
    </x:row>
    <x:row r="629">
      <x:c r="A629" s="5" t="str">
        <x:v>P8</x:v>
      </x:c>
      <x:c r="B629" s="5" t="str">
        <x:v>PXL_20230504_211646717_transcription.xlsx</x:v>
      </x:c>
      <x:c r="C629" s="5" t="str">
        <x:v>PXL_20230504_211646717_transcription_corrected.txt</x:v>
      </x:c>
      <x:c r="D629" s="5" t="str">
        <x:v>total_words</x:v>
      </x:c>
      <x:c r="E629" s="6" t="n">
        <x:v>875</x:v>
      </x:c>
      <x:c r="F629" s="6" t="n">
        <x:v>868</x:v>
      </x:c>
      <x:c r="G629" s="7" t="n">
        <x:f>IF(OR(E629="",F629="",F629=0),"",ABS(E629-F629)/ABS(F629))</x:f>
        <x:v>0.008064516129032258</x:v>
      </x:c>
      <x:c r="H629" s="5" t="str">
        <x:v>CLAN</x:v>
      </x:c>
    </x:row>
    <x:row r="630">
      <x:c r="A630" s="5" t="str">
        <x:v>P8</x:v>
      </x:c>
      <x:c r="B630" s="5" t="str">
        <x:v>PXL_20230504_211646717_transcription.xlsx</x:v>
      </x:c>
      <x:c r="C630" s="5" t="str">
        <x:v>PXL_20230504_211646717_transcription_corrected.txt</x:v>
      </x:c>
      <x:c r="D630" s="5" t="str">
        <x:v>mlu_words</x:v>
      </x:c>
      <x:c r="E630" s="6" t="n">
        <x:v>9.408602150537634</x:v>
      </x:c>
      <x:c r="F630" s="6" t="n">
        <x:v>13.778</x:v>
      </x:c>
      <x:c r="G630" s="7" t="n">
        <x:f>IF(OR(E630="",F630="",F630=0),"",ABS(E630-F630)/ABS(F630))</x:f>
        <x:v>0.31712859990291525</x:v>
      </x:c>
      <x:c r="H630" s="5" t="str">
        <x:v>CLAN</x:v>
      </x:c>
    </x:row>
    <x:row r="631">
      <x:c r="A631" s="5" t="str">
        <x:v>P8</x:v>
      </x:c>
      <x:c r="B631" s="5" t="str">
        <x:v>PXL_20230504_211646717_transcription.xlsx</x:v>
      </x:c>
      <x:c r="C631" s="5" t="str">
        <x:v>PXL_20230504_211646717_transcription_corrected.txt</x:v>
      </x:c>
      <x:c r="D631" s="5" t="str">
        <x:v>mlu_words_sd</x:v>
      </x:c>
      <x:c r="E631" s="6" t="n">
        <x:v>9.827804050479386</x:v>
      </x:c>
      <x:c r="F631" s="6" t="n">
        <x:v>14.053</x:v>
      </x:c>
      <x:c r="G631" s="7" t="n">
        <x:f>IF(OR(E631="",F631="",F631=0),"",ABS(E631-F631)/ABS(F631))</x:f>
        <x:v>0.30066149217395677</x:v>
      </x:c>
      <x:c r="H631" s="5" t="str">
        <x:v>CLAN</x:v>
      </x:c>
    </x:row>
    <x:row r="632">
      <x:c r="A632" s="5" t="str">
        <x:v>P8</x:v>
      </x:c>
      <x:c r="B632" s="5" t="str">
        <x:v>PXL_20230504_212534219_transcription.xlsx</x:v>
      </x:c>
      <x:c r="C632" s="5" t="str">
        <x:v>PXL_20230504_212534219_transcription_corrected.txt</x:v>
      </x:c>
      <x:c r="D632" s="5" t="str">
        <x:v>basic_ntokens</x:v>
      </x:c>
      <x:c r="E632" s="6" t="n">
        <x:v>925</x:v>
      </x:c>
      <x:c r="F632" s="6" t="n">
        <x:v>918</x:v>
      </x:c>
      <x:c r="G632" s="7" t="n">
        <x:f>IF(OR(E632="",F632="",F632=0),"",ABS(E632-F632)/ABS(F632))</x:f>
        <x:v>0.007625272331154684</x:v>
      </x:c>
      <x:c r="H632" s="5" t="str">
        <x:v>TAALED</x:v>
      </x:c>
    </x:row>
    <x:row r="633">
      <x:c r="A633" s="5" t="str">
        <x:v>P8</x:v>
      </x:c>
      <x:c r="B633" s="5" t="str">
        <x:v>PXL_20230504_212534219_transcription.xlsx</x:v>
      </x:c>
      <x:c r="C633" s="5" t="str">
        <x:v>PXL_20230504_212534219_transcription_corrected.txt</x:v>
      </x:c>
      <x:c r="D633" s="5" t="str">
        <x:v>basic_ntypes</x:v>
      </x:c>
      <x:c r="E633" s="6" t="n">
        <x:v>314</x:v>
      </x:c>
      <x:c r="F633" s="6" t="n">
        <x:v>316</x:v>
      </x:c>
      <x:c r="G633" s="7" t="n">
        <x:f>IF(OR(E633="",F633="",F633=0),"",ABS(E633-F633)/ABS(F633))</x:f>
        <x:v>0.006329113924050633</x:v>
      </x:c>
      <x:c r="H633" s="5" t="str">
        <x:v>TAALED</x:v>
      </x:c>
    </x:row>
    <x:row r="634">
      <x:c r="A634" s="5" t="str">
        <x:v>P8</x:v>
      </x:c>
      <x:c r="B634" s="5" t="str">
        <x:v>PXL_20230504_212534219_transcription.xlsx</x:v>
      </x:c>
      <x:c r="C634" s="5" t="str">
        <x:v>PXL_20230504_212534219_transcription_corrected.txt</x:v>
      </x:c>
      <x:c r="D634" s="5" t="str">
        <x:v>basic_ncontent_tokens</x:v>
      </x:c>
      <x:c r="E634" s="6" t="n">
        <x:v>365</x:v>
      </x:c>
      <x:c r="F634" s="6" t="n">
        <x:v>362</x:v>
      </x:c>
      <x:c r="G634" s="7" t="n">
        <x:f>IF(OR(E634="",F634="",F634=0),"",ABS(E634-F634)/ABS(F634))</x:f>
        <x:v>0.008287292817679558</x:v>
      </x:c>
      <x:c r="H634" s="5" t="str">
        <x:v>TAALED</x:v>
      </x:c>
    </x:row>
    <x:row r="635">
      <x:c r="A635" s="5" t="str">
        <x:v>P8</x:v>
      </x:c>
      <x:c r="B635" s="5" t="str">
        <x:v>PXL_20230504_212534219_transcription.xlsx</x:v>
      </x:c>
      <x:c r="C635" s="5" t="str">
        <x:v>PXL_20230504_212534219_transcription_corrected.txt</x:v>
      </x:c>
      <x:c r="D635" s="5" t="str">
        <x:v>basic_ncontent_types</x:v>
      </x:c>
      <x:c r="E635" s="6" t="n">
        <x:v>209</x:v>
      </x:c>
      <x:c r="F635" s="6" t="n">
        <x:v>211</x:v>
      </x:c>
      <x:c r="G635" s="7" t="n">
        <x:f>IF(OR(E635="",F635="",F635=0),"",ABS(E635-F635)/ABS(F635))</x:f>
        <x:v>0.009478672985781991</x:v>
      </x:c>
      <x:c r="H635" s="5" t="str">
        <x:v>TAALED</x:v>
      </x:c>
    </x:row>
    <x:row r="636">
      <x:c r="A636" s="5" t="str">
        <x:v>P8</x:v>
      </x:c>
      <x:c r="B636" s="5" t="str">
        <x:v>PXL_20230504_212534219_transcription.xlsx</x:v>
      </x:c>
      <x:c r="C636" s="5" t="str">
        <x:v>PXL_20230504_212534219_transcription_corrected.txt</x:v>
      </x:c>
      <x:c r="D636" s="5" t="str">
        <x:v>basic_nfunction_tokens</x:v>
      </x:c>
      <x:c r="E636" s="6" t="n">
        <x:v>560</x:v>
      </x:c>
      <x:c r="F636" s="6" t="n">
        <x:v>556</x:v>
      </x:c>
      <x:c r="G636" s="7" t="n">
        <x:f>IF(OR(E636="",F636="",F636=0),"",ABS(E636-F636)/ABS(F636))</x:f>
        <x:v>0.007194244604316547</x:v>
      </x:c>
      <x:c r="H636" s="5" t="str">
        <x:v>TAALED</x:v>
      </x:c>
    </x:row>
    <x:row r="637">
      <x:c r="A637" s="5" t="str">
        <x:v>P8</x:v>
      </x:c>
      <x:c r="B637" s="5" t="str">
        <x:v>PXL_20230504_212534219_transcription.xlsx</x:v>
      </x:c>
      <x:c r="C637" s="5" t="str">
        <x:v>PXL_20230504_212534219_transcription_corrected.txt</x:v>
      </x:c>
      <x:c r="D637" s="5" t="str">
        <x:v>basic_nfunction_types</x:v>
      </x:c>
      <x:c r="E637" s="6" t="n">
        <x:v>105</x:v>
      </x:c>
      <x:c r="F637" s="6" t="n">
        <x:v>105</x:v>
      </x:c>
      <x:c r="G637" s="7" t="n">
        <x:f>IF(OR(E637="",F637="",F637=0),"",ABS(E637-F637)/ABS(F637))</x:f>
        <x:v>0</x:v>
      </x:c>
      <x:c r="H637" s="5" t="str">
        <x:v>TAALED</x:v>
      </x:c>
    </x:row>
    <x:row r="638">
      <x:c r="A638" s="5" t="str">
        <x:v>P8</x:v>
      </x:c>
      <x:c r="B638" s="5" t="str">
        <x:v>PXL_20230504_212534219_transcription.xlsx</x:v>
      </x:c>
      <x:c r="C638" s="5" t="str">
        <x:v>PXL_20230504_212534219_transcription_corrected.txt</x:v>
      </x:c>
      <x:c r="D638" s="5" t="str">
        <x:v>lexical_density_tokens</x:v>
      </x:c>
      <x:c r="E638" s="6" t="n">
        <x:v>0.3945945945945946</x:v>
      </x:c>
      <x:c r="F638" s="6" t="n">
        <x:v>0.39433551198257083</x:v>
      </x:c>
      <x:c r="G638" s="7" t="n">
        <x:f>IF(OR(E638="",F638="",F638=0),"",ABS(E638-F638)/ABS(F638))</x:f>
        <x:v>0.0006570106017619781</x:v>
      </x:c>
      <x:c r="H638" s="5" t="str">
        <x:v>TAALED</x:v>
      </x:c>
    </x:row>
    <x:row r="639">
      <x:c r="A639" s="5" t="str">
        <x:v>P8</x:v>
      </x:c>
      <x:c r="B639" s="5" t="str">
        <x:v>PXL_20230504_212534219_transcription.xlsx</x:v>
      </x:c>
      <x:c r="C639" s="5" t="str">
        <x:v>PXL_20230504_212534219_transcription_corrected.txt</x:v>
      </x:c>
      <x:c r="D639" s="5" t="str">
        <x:v>lexical_density_types</x:v>
      </x:c>
      <x:c r="E639" s="6" t="n">
        <x:v>0.6656050955414012</x:v>
      </x:c>
      <x:c r="F639" s="6" t="n">
        <x:v>0.6677215189873418</x:v>
      </x:c>
      <x:c r="G639" s="7" t="n">
        <x:f>IF(OR(E639="",F639="",F639=0),"",ABS(E639-F639)/ABS(F639))</x:f>
        <x:v>0.003169619947474933</x:v>
      </x:c>
      <x:c r="H639" s="5" t="str">
        <x:v>TAALED</x:v>
      </x:c>
    </x:row>
    <x:row r="640">
      <x:c r="A640" s="5" t="str">
        <x:v>P8</x:v>
      </x:c>
      <x:c r="B640" s="5" t="str">
        <x:v>PXL_20230504_212534219_transcription.xlsx</x:v>
      </x:c>
      <x:c r="C640" s="5" t="str">
        <x:v>PXL_20230504_212534219_transcription_corrected.txt</x:v>
      </x:c>
      <x:c r="D640" s="5" t="str">
        <x:v>simple_ttr_aw</x:v>
      </x:c>
      <x:c r="E640" s="6" t="n">
        <x:v>0.33945945945945943</x:v>
      </x:c>
      <x:c r="F640" s="6" t="n">
        <x:v>0.3442265795206972</x:v>
      </x:c>
      <x:c r="G640" s="7" t="n">
        <x:f>IF(OR(E640="",F640="",F640=0),"",ABS(E640-F640)/ABS(F640))</x:f>
        <x:v>0.013848785494355236</x:v>
      </x:c>
      <x:c r="H640" s="5" t="str">
        <x:v>TAALED</x:v>
      </x:c>
    </x:row>
    <x:row r="641">
      <x:c r="A641" s="5" t="str">
        <x:v>P8</x:v>
      </x:c>
      <x:c r="B641" s="5" t="str">
        <x:v>PXL_20230504_212534219_transcription.xlsx</x:v>
      </x:c>
      <x:c r="C641" s="5" t="str">
        <x:v>PXL_20230504_212534219_transcription_corrected.txt</x:v>
      </x:c>
      <x:c r="D641" s="5" t="str">
        <x:v>root_ttr_aw</x:v>
      </x:c>
      <x:c r="E641" s="6" t="n">
        <x:v>10.324256402776438</x:v>
      </x:c>
      <x:c r="F641" s="6" t="n">
        <x:v>10.429554119354304</x:v>
      </x:c>
      <x:c r="G641" s="7" t="n">
        <x:f>IF(OR(E641="",F641="",F641=0),"",ABS(E641-F641)/ABS(F641))</x:f>
        <x:v>0.010096089954839287</x:v>
      </x:c>
      <x:c r="H641" s="5" t="str">
        <x:v>TAALED</x:v>
      </x:c>
    </x:row>
    <x:row r="642">
      <x:c r="A642" s="5" t="str">
        <x:v>P8</x:v>
      </x:c>
      <x:c r="B642" s="5" t="str">
        <x:v>PXL_20230504_212534219_transcription.xlsx</x:v>
      </x:c>
      <x:c r="C642" s="5" t="str">
        <x:v>PXL_20230504_212534219_transcription_corrected.txt</x:v>
      </x:c>
      <x:c r="D642" s="5" t="str">
        <x:v>log_ttr_aw</x:v>
      </x:c>
      <x:c r="E642" s="6" t="n">
        <x:v>0.8418106324836568</x:v>
      </x:c>
      <x:c r="F642" s="6" t="n">
        <x:v>0.8436786395978816</x:v>
      </x:c>
      <x:c r="G642" s="7" t="n">
        <x:f>IF(OR(E642="",F642="",F642=0),"",ABS(E642-F642)/ABS(F642))</x:f>
        <x:v>0.0022141216175806996</x:v>
      </x:c>
      <x:c r="H642" s="5" t="str">
        <x:v>TAALED</x:v>
      </x:c>
    </x:row>
    <x:row r="643">
      <x:c r="A643" s="5" t="str">
        <x:v>P8</x:v>
      </x:c>
      <x:c r="B643" s="5" t="str">
        <x:v>PXL_20230504_212534219_transcription.xlsx</x:v>
      </x:c>
      <x:c r="C643" s="5" t="str">
        <x:v>PXL_20230504_212534219_transcription_corrected.txt</x:v>
      </x:c>
      <x:c r="D643" s="5" t="str">
        <x:v>maas_ttr_aw</x:v>
      </x:c>
      <x:c r="E643" s="6" t="n">
        <x:v>0.053331695437987686</x:v>
      </x:c>
      <x:c r="F643" s="6" t="n">
        <x:v>0.052760600957300986</x:v>
      </x:c>
      <x:c r="G643" s="7" t="n">
        <x:f>IF(OR(E643="",F643="",F643=0),"",ABS(E643-F643)/ABS(F643))</x:f>
        <x:v>0.010824260344359708</x:v>
      </x:c>
      <x:c r="H643" s="5" t="str">
        <x:v>TAALED</x:v>
      </x:c>
    </x:row>
    <x:row r="644">
      <x:c r="A644" s="5" t="str">
        <x:v>P8</x:v>
      </x:c>
      <x:c r="B644" s="5" t="str">
        <x:v>PXL_20230504_212534219_transcription.xlsx</x:v>
      </x:c>
      <x:c r="C644" s="5" t="str">
        <x:v>PXL_20230504_212534219_transcription_corrected.txt</x:v>
      </x:c>
      <x:c r="D644" s="5" t="str">
        <x:v>mattr50_aw</x:v>
      </x:c>
      <x:c r="E644" s="6" t="n">
        <x:v>0.7387442922374429</x:v>
      </x:c>
      <x:c r="F644" s="6" t="n">
        <x:v>0.7404372842347526</x:v>
      </x:c>
      <x:c r="G644" s="7" t="n">
        <x:f>IF(OR(E644="",F644="",F644=0),"",ABS(E644-F644)/ABS(F644))</x:f>
        <x:v>0.002286475888446767</x:v>
      </x:c>
      <x:c r="H644" s="5" t="str">
        <x:v>TAALED</x:v>
      </x:c>
    </x:row>
    <x:row r="645">
      <x:c r="A645" s="5" t="str">
        <x:v>P8</x:v>
      </x:c>
      <x:c r="B645" s="5" t="str">
        <x:v>PXL_20230504_212534219_transcription.xlsx</x:v>
      </x:c>
      <x:c r="C645" s="5" t="str">
        <x:v>PXL_20230504_212534219_transcription_corrected.txt</x:v>
      </x:c>
      <x:c r="D645" s="5" t="str">
        <x:v>msttr50_aw</x:v>
      </x:c>
      <x:c r="E645" s="6" t="n">
        <x:v>0.73</x:v>
      </x:c>
      <x:c r="F645" s="6" t="n">
        <x:v>0.7277777777777777</x:v>
      </x:c>
      <x:c r="G645" s="7" t="n">
        <x:f>IF(OR(E645="",F645="",F645=0),"",ABS(E645-F645)/ABS(F645))</x:f>
        <x:v>0.0030534351145038367</x:v>
      </x:c>
      <x:c r="H645" s="5" t="str">
        <x:v>TAALED</x:v>
      </x:c>
    </x:row>
    <x:row r="646">
      <x:c r="A646" s="5" t="str">
        <x:v>P8</x:v>
      </x:c>
      <x:c r="B646" s="5" t="str">
        <x:v>PXL_20230504_212534219_transcription.xlsx</x:v>
      </x:c>
      <x:c r="C646" s="5" t="str">
        <x:v>PXL_20230504_212534219_transcription_corrected.txt</x:v>
      </x:c>
      <x:c r="D646" s="5" t="str">
        <x:v>hdd42_aw</x:v>
      </x:c>
      <x:c r="E646" s="6" t="n">
        <x:v>0.8121689331559083</x:v>
      </x:c>
      <x:c r="F646" s="6" t="n">
        <x:v>0.8126427552229062</x:v>
      </x:c>
      <x:c r="G646" s="7" t="n">
        <x:f>IF(OR(E646="",F646="",F646=0),"",ABS(E646-F646)/ABS(F646))</x:f>
        <x:v>0.0005830631774572284</x:v>
      </x:c>
      <x:c r="H646" s="5" t="str">
        <x:v>TAALED</x:v>
      </x:c>
    </x:row>
    <x:row r="647">
      <x:c r="A647" s="5" t="str">
        <x:v>P8</x:v>
      </x:c>
      <x:c r="B647" s="5" t="str">
        <x:v>PXL_20230504_212534219_transcription.xlsx</x:v>
      </x:c>
      <x:c r="C647" s="5" t="str">
        <x:v>PXL_20230504_212534219_transcription_corrected.txt</x:v>
      </x:c>
      <x:c r="D647" s="5" t="str">
        <x:v>mtld_original_aw</x:v>
      </x:c>
      <x:c r="E647" s="6" t="n">
        <x:v>51.955955860733006</x:v>
      </x:c>
      <x:c r="F647" s="6" t="n">
        <x:v>51.94444444444444</x:v>
      </x:c>
      <x:c r="G647" s="7" t="n">
        <x:f>IF(OR(E647="",F647="",F647=0),"",ABS(E647-F647)/ABS(F647))</x:f>
        <x:v>0.00022161015314881076</x:v>
      </x:c>
      <x:c r="H647" s="5" t="str">
        <x:v>TAALED</x:v>
      </x:c>
    </x:row>
    <x:row r="648">
      <x:c r="A648" s="5" t="str">
        <x:v>P8</x:v>
      </x:c>
      <x:c r="B648" s="5" t="str">
        <x:v>PXL_20230504_212534219_transcription.xlsx</x:v>
      </x:c>
      <x:c r="C648" s="5" t="str">
        <x:v>PXL_20230504_212534219_transcription_corrected.txt</x:v>
      </x:c>
      <x:c r="D648" s="5" t="str">
        <x:v>mtld_mean_factor_length_aw</x:v>
      </x:c>
      <x:c r="E648" s="6" t="n">
        <x:v>51.246</x:v>
      </x:c>
      <x:c r="F648" s="6" t="n">
        <x:v>51.861111111111114</x:v>
      </x:c>
      <x:c r="G648" s="7" t="n">
        <x:f>IF(OR(E648="",F648="",F648=0),"",ABS(E648-F648)/ABS(F648))</x:f>
        <x:v>0.011860739153722566</x:v>
      </x:c>
      <x:c r="H648" s="5" t="str">
        <x:v>TAALED</x:v>
      </x:c>
    </x:row>
    <x:row r="649">
      <x:c r="A649" s="5" t="str">
        <x:v>P8</x:v>
      </x:c>
      <x:c r="B649" s="5" t="str">
        <x:v>PXL_20230504_212534219_transcription.xlsx</x:v>
      </x:c>
      <x:c r="C649" s="5" t="str">
        <x:v>PXL_20230504_212534219_transcription_corrected.txt</x:v>
      </x:c>
      <x:c r="D649" s="5" t="str">
        <x:v>total_utterances</x:v>
      </x:c>
      <x:c r="E649" s="6" t="n">
        <x:v>76</x:v>
      </x:c>
      <x:c r="F649" s="6" t="n">
        <x:v>70</x:v>
      </x:c>
      <x:c r="G649" s="7" t="n">
        <x:f>IF(OR(E649="",F649="",F649=0),"",ABS(E649-F649)/ABS(F649))</x:f>
        <x:v>0.08571428571428572</x:v>
      </x:c>
      <x:c r="H649" s="5" t="str">
        <x:v>CLAN</x:v>
      </x:c>
    </x:row>
    <x:row r="650">
      <x:c r="A650" s="5" t="str">
        <x:v>P8</x:v>
      </x:c>
      <x:c r="B650" s="5" t="str">
        <x:v>PXL_20230504_212534219_transcription.xlsx</x:v>
      </x:c>
      <x:c r="C650" s="5" t="str">
        <x:v>PXL_20230504_212534219_transcription_corrected.txt</x:v>
      </x:c>
      <x:c r="D650" s="5" t="str">
        <x:v>total_words</x:v>
      </x:c>
      <x:c r="E650" s="6" t="n">
        <x:v>879</x:v>
      </x:c>
      <x:c r="F650" s="6" t="n">
        <x:v>877</x:v>
      </x:c>
      <x:c r="G650" s="7" t="n">
        <x:f>IF(OR(E650="",F650="",F650=0),"",ABS(E650-F650)/ABS(F650))</x:f>
        <x:v>0.002280501710376283</x:v>
      </x:c>
      <x:c r="H650" s="5" t="str">
        <x:v>CLAN</x:v>
      </x:c>
    </x:row>
    <x:row r="651">
      <x:c r="A651" s="5" t="str">
        <x:v>P8</x:v>
      </x:c>
      <x:c r="B651" s="5" t="str">
        <x:v>PXL_20230504_212534219_transcription.xlsx</x:v>
      </x:c>
      <x:c r="C651" s="5" t="str">
        <x:v>PXL_20230504_212534219_transcription_corrected.txt</x:v>
      </x:c>
      <x:c r="D651" s="5" t="str">
        <x:v>mlu_words</x:v>
      </x:c>
      <x:c r="E651" s="6" t="n">
        <x:v>11.56578947368421</x:v>
      </x:c>
      <x:c r="F651" s="6" t="n">
        <x:v>12.529</x:v>
      </x:c>
      <x:c r="G651" s="7" t="n">
        <x:f>IF(OR(E651="",F651="",F651=0),"",ABS(E651-F651)/ABS(F651))</x:f>
        <x:v>0.07687848402233134</x:v>
      </x:c>
      <x:c r="H651" s="5" t="str">
        <x:v>CLAN</x:v>
      </x:c>
    </x:row>
    <x:row r="652">
      <x:c r="A652" s="5" t="str">
        <x:v>P8</x:v>
      </x:c>
      <x:c r="B652" s="5" t="str">
        <x:v>PXL_20230504_212534219_transcription.xlsx</x:v>
      </x:c>
      <x:c r="C652" s="5" t="str">
        <x:v>PXL_20230504_212534219_transcription_corrected.txt</x:v>
      </x:c>
      <x:c r="D652" s="5" t="str">
        <x:v>mlu_words_sd</x:v>
      </x:c>
      <x:c r="E652" s="6" t="n">
        <x:v>10.976452698864762</x:v>
      </x:c>
      <x:c r="F652" s="6" t="n">
        <x:v>11.127</x:v>
      </x:c>
      <x:c r="G652" s="7" t="n">
        <x:f>IF(OR(E652="",F652="",F652=0),"",ABS(E652-F652)/ABS(F652))</x:f>
        <x:v>0.013529909331826993</x:v>
      </x:c>
      <x:c r="H652" s="5" t="str">
        <x:v>CLAN</x:v>
      </x:c>
    </x:row>
    <x:row r="653">
      <x:c r="A653" s="5" t="str">
        <x:v>P8</x:v>
      </x:c>
      <x:c r="B653" s="5" t="str">
        <x:v>PXL_20230504_213408845_transcription.xlsx</x:v>
      </x:c>
      <x:c r="C653" s="5" t="str">
        <x:v>PXL_20230504_213408845_transcription_corrected.txt</x:v>
      </x:c>
      <x:c r="D653" s="5" t="str">
        <x:v>basic_ntokens</x:v>
      </x:c>
      <x:c r="E653" s="6" t="n">
        <x:v>1037</x:v>
      </x:c>
      <x:c r="F653" s="6" t="n">
        <x:v>1037</x:v>
      </x:c>
      <x:c r="G653" s="7" t="n">
        <x:f>IF(OR(E653="",F653="",F653=0),"",ABS(E653-F653)/ABS(F653))</x:f>
        <x:v>0</x:v>
      </x:c>
      <x:c r="H653" s="5" t="str">
        <x:v>TAALED</x:v>
      </x:c>
    </x:row>
    <x:row r="654">
      <x:c r="A654" s="5" t="str">
        <x:v>P8</x:v>
      </x:c>
      <x:c r="B654" s="5" t="str">
        <x:v>PXL_20230504_213408845_transcription.xlsx</x:v>
      </x:c>
      <x:c r="C654" s="5" t="str">
        <x:v>PXL_20230504_213408845_transcription_corrected.txt</x:v>
      </x:c>
      <x:c r="D654" s="5" t="str">
        <x:v>basic_ntypes</x:v>
      </x:c>
      <x:c r="E654" s="6" t="n">
        <x:v>323</x:v>
      </x:c>
      <x:c r="F654" s="6" t="n">
        <x:v>330</x:v>
      </x:c>
      <x:c r="G654" s="7" t="n">
        <x:f>IF(OR(E654="",F654="",F654=0),"",ABS(E654-F654)/ABS(F654))</x:f>
        <x:v>0.021212121212121213</x:v>
      </x:c>
      <x:c r="H654" s="5" t="str">
        <x:v>TAALED</x:v>
      </x:c>
    </x:row>
    <x:row r="655">
      <x:c r="A655" s="5" t="str">
        <x:v>P8</x:v>
      </x:c>
      <x:c r="B655" s="5" t="str">
        <x:v>PXL_20230504_213408845_transcription.xlsx</x:v>
      </x:c>
      <x:c r="C655" s="5" t="str">
        <x:v>PXL_20230504_213408845_transcription_corrected.txt</x:v>
      </x:c>
      <x:c r="D655" s="5" t="str">
        <x:v>basic_ncontent_tokens</x:v>
      </x:c>
      <x:c r="E655" s="6" t="n">
        <x:v>411</x:v>
      </x:c>
      <x:c r="F655" s="6" t="n">
        <x:v>415</x:v>
      </x:c>
      <x:c r="G655" s="7" t="n">
        <x:f>IF(OR(E655="",F655="",F655=0),"",ABS(E655-F655)/ABS(F655))</x:f>
        <x:v>0.00963855421686747</x:v>
      </x:c>
      <x:c r="H655" s="5" t="str">
        <x:v>TAALED</x:v>
      </x:c>
    </x:row>
    <x:row r="656">
      <x:c r="A656" s="5" t="str">
        <x:v>P8</x:v>
      </x:c>
      <x:c r="B656" s="5" t="str">
        <x:v>PXL_20230504_213408845_transcription.xlsx</x:v>
      </x:c>
      <x:c r="C656" s="5" t="str">
        <x:v>PXL_20230504_213408845_transcription_corrected.txt</x:v>
      </x:c>
      <x:c r="D656" s="5" t="str">
        <x:v>basic_ncontent_types</x:v>
      </x:c>
      <x:c r="E656" s="6" t="n">
        <x:v>218</x:v>
      </x:c>
      <x:c r="F656" s="6" t="n">
        <x:v>223</x:v>
      </x:c>
      <x:c r="G656" s="7" t="n">
        <x:f>IF(OR(E656="",F656="",F656=0),"",ABS(E656-F656)/ABS(F656))</x:f>
        <x:v>0.02242152466367713</x:v>
      </x:c>
      <x:c r="H656" s="5" t="str">
        <x:v>TAALED</x:v>
      </x:c>
    </x:row>
    <x:row r="657">
      <x:c r="A657" s="5" t="str">
        <x:v>P8</x:v>
      </x:c>
      <x:c r="B657" s="5" t="str">
        <x:v>PXL_20230504_213408845_transcription.xlsx</x:v>
      </x:c>
      <x:c r="C657" s="5" t="str">
        <x:v>PXL_20230504_213408845_transcription_corrected.txt</x:v>
      </x:c>
      <x:c r="D657" s="5" t="str">
        <x:v>basic_nfunction_tokens</x:v>
      </x:c>
      <x:c r="E657" s="6" t="n">
        <x:v>626</x:v>
      </x:c>
      <x:c r="F657" s="6" t="n">
        <x:v>622</x:v>
      </x:c>
      <x:c r="G657" s="7" t="n">
        <x:f>IF(OR(E657="",F657="",F657=0),"",ABS(E657-F657)/ABS(F657))</x:f>
        <x:v>0.006430868167202572</x:v>
      </x:c>
      <x:c r="H657" s="5" t="str">
        <x:v>TAALED</x:v>
      </x:c>
    </x:row>
    <x:row r="658">
      <x:c r="A658" s="5" t="str">
        <x:v>P8</x:v>
      </x:c>
      <x:c r="B658" s="5" t="str">
        <x:v>PXL_20230504_213408845_transcription.xlsx</x:v>
      </x:c>
      <x:c r="C658" s="5" t="str">
        <x:v>PXL_20230504_213408845_transcription_corrected.txt</x:v>
      </x:c>
      <x:c r="D658" s="5" t="str">
        <x:v>basic_nfunction_types</x:v>
      </x:c>
      <x:c r="E658" s="6" t="n">
        <x:v>105</x:v>
      </x:c>
      <x:c r="F658" s="6" t="n">
        <x:v>107</x:v>
      </x:c>
      <x:c r="G658" s="7" t="n">
        <x:f>IF(OR(E658="",F658="",F658=0),"",ABS(E658-F658)/ABS(F658))</x:f>
        <x:v>0.018691588785046728</x:v>
      </x:c>
      <x:c r="H658" s="5" t="str">
        <x:v>TAALED</x:v>
      </x:c>
    </x:row>
    <x:row r="659">
      <x:c r="A659" s="5" t="str">
        <x:v>P8</x:v>
      </x:c>
      <x:c r="B659" s="5" t="str">
        <x:v>PXL_20230504_213408845_transcription.xlsx</x:v>
      </x:c>
      <x:c r="C659" s="5" t="str">
        <x:v>PXL_20230504_213408845_transcription_corrected.txt</x:v>
      </x:c>
      <x:c r="D659" s="5" t="str">
        <x:v>lexical_density_tokens</x:v>
      </x:c>
      <x:c r="E659" s="6" t="n">
        <x:v>0.39633558341369335</x:v>
      </x:c>
      <x:c r="F659" s="6" t="n">
        <x:v>0.40019286403085824</x:v>
      </x:c>
      <x:c r="G659" s="7" t="n">
        <x:f>IF(OR(E659="",F659="",F659=0),"",ABS(E659-F659)/ABS(F659))</x:f>
        <x:v>0.009638554216867457</x:v>
      </x:c>
      <x:c r="H659" s="5" t="str">
        <x:v>TAALED</x:v>
      </x:c>
    </x:row>
    <x:row r="660">
      <x:c r="A660" s="5" t="str">
        <x:v>P8</x:v>
      </x:c>
      <x:c r="B660" s="5" t="str">
        <x:v>PXL_20230504_213408845_transcription.xlsx</x:v>
      </x:c>
      <x:c r="C660" s="5" t="str">
        <x:v>PXL_20230504_213408845_transcription_corrected.txt</x:v>
      </x:c>
      <x:c r="D660" s="5" t="str">
        <x:v>lexical_density_types</x:v>
      </x:c>
      <x:c r="E660" s="6" t="n">
        <x:v>0.6749226006191951</x:v>
      </x:c>
      <x:c r="F660" s="6" t="n">
        <x:v>0.6757575757575758</x:v>
      </x:c>
      <x:c r="G660" s="7" t="n">
        <x:f>IF(OR(E660="",F660="",F660=0),"",ABS(E660-F660)/ABS(F660))</x:f>
        <x:v>0.0012356134334781826</x:v>
      </x:c>
      <x:c r="H660" s="5" t="str">
        <x:v>TAALED</x:v>
      </x:c>
    </x:row>
    <x:row r="661">
      <x:c r="A661" s="5" t="str">
        <x:v>P8</x:v>
      </x:c>
      <x:c r="B661" s="5" t="str">
        <x:v>PXL_20230504_213408845_transcription.xlsx</x:v>
      </x:c>
      <x:c r="C661" s="5" t="str">
        <x:v>PXL_20230504_213408845_transcription_corrected.txt</x:v>
      </x:c>
      <x:c r="D661" s="5" t="str">
        <x:v>simple_ttr_aw</x:v>
      </x:c>
      <x:c r="E661" s="6" t="n">
        <x:v>0.3114754098360656</x:v>
      </x:c>
      <x:c r="F661" s="6" t="n">
        <x:v>0.31822565091610416</x:v>
      </x:c>
      <x:c r="G661" s="7" t="n">
        <x:f>IF(OR(E661="",F661="",F661=0),"",ABS(E661-F661)/ABS(F661))</x:f>
        <x:v>0.021212121212121224</x:v>
      </x:c>
      <x:c r="H661" s="5" t="str">
        <x:v>TAALED</x:v>
      </x:c>
    </x:row>
    <x:row r="662">
      <x:c r="A662" s="5" t="str">
        <x:v>P8</x:v>
      </x:c>
      <x:c r="B662" s="5" t="str">
        <x:v>PXL_20230504_213408845_transcription.xlsx</x:v>
      </x:c>
      <x:c r="C662" s="5" t="str">
        <x:v>PXL_20230504_213408845_transcription_corrected.txt</x:v>
      </x:c>
      <x:c r="D662" s="5" t="str">
        <x:v>root_ttr_aw</x:v>
      </x:c>
      <x:c r="E662" s="6" t="n">
        <x:v>10.030282018819271</x:v>
      </x:c>
      <x:c r="F662" s="6" t="n">
        <x:v>10.24765655173486</x:v>
      </x:c>
      <x:c r="G662" s="7" t="n">
        <x:f>IF(OR(E662="",F662="",F662=0),"",ABS(E662-F662)/ABS(F662))</x:f>
        <x:v>0.02121212121212127</x:v>
      </x:c>
      <x:c r="H662" s="5" t="str">
        <x:v>TAALED</x:v>
      </x:c>
    </x:row>
    <x:row r="663">
      <x:c r="A663" s="5" t="str">
        <x:v>P8</x:v>
      </x:c>
      <x:c r="B663" s="5" t="str">
        <x:v>PXL_20230504_213408845_transcription.xlsx</x:v>
      </x:c>
      <x:c r="C663" s="5" t="str">
        <x:v>PXL_20230504_213408845_transcription_corrected.txt</x:v>
      </x:c>
      <x:c r="D663" s="5" t="str">
        <x:v>log_ttr_aw</x:v>
      </x:c>
      <x:c r="E663" s="6" t="n">
        <x:v>0.8320247355729471</x:v>
      </x:c>
      <x:c r="F663" s="6" t="n">
        <x:v>0.8351123021018438</x:v>
      </x:c>
      <x:c r="G663" s="7" t="n">
        <x:f>IF(OR(E663="",F663="",F663=0),"",ABS(E663-F663)/ABS(F663))</x:f>
        <x:v>0.0036971872179655785</x:v>
      </x:c>
      <x:c r="H663" s="5" t="str">
        <x:v>TAALED</x:v>
      </x:c>
    </x:row>
    <x:row r="664">
      <x:c r="A664" s="5" t="str">
        <x:v>P8</x:v>
      </x:c>
      <x:c r="B664" s="5" t="str">
        <x:v>PXL_20230504_213408845_transcription.xlsx</x:v>
      </x:c>
      <x:c r="C664" s="5" t="str">
        <x:v>PXL_20230504_213408845_transcription_corrected.txt</x:v>
      </x:c>
      <x:c r="D664" s="5" t="str">
        <x:v>maas_ttr_aw</x:v>
      </x:c>
      <x:c r="E664" s="6" t="n">
        <x:v>0.055698802198666256</x:v>
      </x:c>
      <x:c r="F664" s="6" t="n">
        <x:v>0.054674998140641244</x:v>
      </x:c>
      <x:c r="G664" s="7" t="n">
        <x:f>IF(OR(E664="",F664="",F664=0),"",ABS(E664-F664)/ABS(F664))</x:f>
        <x:v>0.018725269187782438</x:v>
      </x:c>
      <x:c r="H664" s="5" t="str">
        <x:v>TAALED</x:v>
      </x:c>
    </x:row>
    <x:row r="665">
      <x:c r="A665" s="5" t="str">
        <x:v>P8</x:v>
      </x:c>
      <x:c r="B665" s="5" t="str">
        <x:v>PXL_20230504_213408845_transcription.xlsx</x:v>
      </x:c>
      <x:c r="C665" s="5" t="str">
        <x:v>PXL_20230504_213408845_transcription_corrected.txt</x:v>
      </x:c>
      <x:c r="D665" s="5" t="str">
        <x:v>mattr50_aw</x:v>
      </x:c>
      <x:c r="E665" s="6" t="n">
        <x:v>0.7543927125506072</x:v>
      </x:c>
      <x:c r="F665" s="6" t="n">
        <x:v>0.7538259109311741</x:v>
      </x:c>
      <x:c r="G665" s="7" t="n">
        <x:f>IF(OR(E665="",F665="",F665=0),"",ABS(E665-F665)/ABS(F665))</x:f>
        <x:v>0.0007518998899002713</x:v>
      </x:c>
      <x:c r="H665" s="5" t="str">
        <x:v>TAALED</x:v>
      </x:c>
    </x:row>
    <x:row r="666">
      <x:c r="A666" s="5" t="str">
        <x:v>P8</x:v>
      </x:c>
      <x:c r="B666" s="5" t="str">
        <x:v>PXL_20230504_213408845_transcription.xlsx</x:v>
      </x:c>
      <x:c r="C666" s="5" t="str">
        <x:v>PXL_20230504_213408845_transcription_corrected.txt</x:v>
      </x:c>
      <x:c r="D666" s="5" t="str">
        <x:v>msttr50_aw</x:v>
      </x:c>
      <x:c r="E666" s="6" t="n">
        <x:v>0.748</x:v>
      </x:c>
      <x:c r="F666" s="6" t="n">
        <x:v>0.7509999999999998</x:v>
      </x:c>
      <x:c r="G666" s="7" t="n">
        <x:f>IF(OR(E666="",F666="",F666=0),"",ABS(E666-F666)/ABS(F666))</x:f>
        <x:v>0.003994673768308631</x:v>
      </x:c>
      <x:c r="H666" s="5" t="str">
        <x:v>TAALED</x:v>
      </x:c>
    </x:row>
    <x:row r="667">
      <x:c r="A667" s="5" t="str">
        <x:v>P8</x:v>
      </x:c>
      <x:c r="B667" s="5" t="str">
        <x:v>PXL_20230504_213408845_transcription.xlsx</x:v>
      </x:c>
      <x:c r="C667" s="5" t="str">
        <x:v>PXL_20230504_213408845_transcription_corrected.txt</x:v>
      </x:c>
      <x:c r="D667" s="5" t="str">
        <x:v>hdd42_aw</x:v>
      </x:c>
      <x:c r="E667" s="6" t="n">
        <x:v>0.8075805325059574</x:v>
      </x:c>
      <x:c r="F667" s="6" t="n">
        <x:v>0.8081646407517828</x:v>
      </x:c>
      <x:c r="G667" s="7" t="n">
        <x:f>IF(OR(E667="",F667="",F667=0),"",ABS(E667-F667)/ABS(F667))</x:f>
        <x:v>0.0007227589730751959</x:v>
      </x:c>
      <x:c r="H667" s="5" t="str">
        <x:v>TAALED</x:v>
      </x:c>
    </x:row>
    <x:row r="668">
      <x:c r="A668" s="5" t="str">
        <x:v>P8</x:v>
      </x:c>
      <x:c r="B668" s="5" t="str">
        <x:v>PXL_20230504_213408845_transcription.xlsx</x:v>
      </x:c>
      <x:c r="C668" s="5" t="str">
        <x:v>PXL_20230504_213408845_transcription_corrected.txt</x:v>
      </x:c>
      <x:c r="D668" s="5" t="str">
        <x:v>mtld_original_aw</x:v>
      </x:c>
      <x:c r="E668" s="6" t="n">
        <x:v>57.611111111111114</x:v>
      </x:c>
      <x:c r="F668" s="6" t="n">
        <x:v>57.78947368421053</x:v>
      </x:c>
      <x:c r="G668" s="7" t="n">
        <x:f>IF(OR(E668="",F668="",F668=0),"",ABS(E668-F668)/ABS(F668))</x:f>
        <x:v>0.0030864197530863845</x:v>
      </x:c>
      <x:c r="H668" s="5" t="str">
        <x:v>TAALED</x:v>
      </x:c>
    </x:row>
    <x:row r="669">
      <x:c r="A669" s="5" t="str">
        <x:v>P8</x:v>
      </x:c>
      <x:c r="B669" s="5" t="str">
        <x:v>PXL_20230504_213408845_transcription.xlsx</x:v>
      </x:c>
      <x:c r="C669" s="5" t="str">
        <x:v>PXL_20230504_213408845_transcription_corrected.txt</x:v>
      </x:c>
      <x:c r="D669" s="5" t="str">
        <x:v>mtld_mean_factor_length_aw</x:v>
      </x:c>
      <x:c r="E669" s="6" t="n">
        <x:v>57.111111111111114</x:v>
      </x:c>
      <x:c r="F669" s="6" t="n">
        <x:v>57.138888888888886</x:v>
      </x:c>
      <x:c r="G669" s="7" t="n">
        <x:f>IF(OR(E669="",F669="",F669=0),"",ABS(E669-F669)/ABS(F669))</x:f>
        <x:v>0.00048614487117149864</x:v>
      </x:c>
      <x:c r="H669" s="5" t="str">
        <x:v>TAALED</x:v>
      </x:c>
    </x:row>
    <x:row r="670">
      <x:c r="A670" s="5" t="str">
        <x:v>P8</x:v>
      </x:c>
      <x:c r="B670" s="5" t="str">
        <x:v>PXL_20230504_213408845_transcription.xlsx</x:v>
      </x:c>
      <x:c r="C670" s="5" t="str">
        <x:v>PXL_20230504_213408845_transcription_corrected.txt</x:v>
      </x:c>
      <x:c r="D670" s="5" t="str">
        <x:v>total_utterances</x:v>
      </x:c>
      <x:c r="E670" s="6" t="n">
        <x:v>70</x:v>
      </x:c>
      <x:c r="F670" s="6" t="n">
        <x:v>66</x:v>
      </x:c>
      <x:c r="G670" s="7" t="n">
        <x:f>IF(OR(E670="",F670="",F670=0),"",ABS(E670-F670)/ABS(F670))</x:f>
        <x:v>0.06060606060606061</x:v>
      </x:c>
      <x:c r="H670" s="5" t="str">
        <x:v>CLAN</x:v>
      </x:c>
    </x:row>
    <x:row r="671">
      <x:c r="A671" s="5" t="str">
        <x:v>P8</x:v>
      </x:c>
      <x:c r="B671" s="5" t="str">
        <x:v>PXL_20230504_213408845_transcription.xlsx</x:v>
      </x:c>
      <x:c r="C671" s="5" t="str">
        <x:v>PXL_20230504_213408845_transcription_corrected.txt</x:v>
      </x:c>
      <x:c r="D671" s="5" t="str">
        <x:v>total_words</x:v>
      </x:c>
      <x:c r="E671" s="6" t="n">
        <x:v>1023</x:v>
      </x:c>
      <x:c r="F671" s="6" t="n">
        <x:v>1020</x:v>
      </x:c>
      <x:c r="G671" s="7" t="n">
        <x:f>IF(OR(E671="",F671="",F671=0),"",ABS(E671-F671)/ABS(F671))</x:f>
        <x:v>0.0029411764705882353</x:v>
      </x:c>
      <x:c r="H671" s="5" t="str">
        <x:v>CLAN</x:v>
      </x:c>
    </x:row>
    <x:row r="672">
      <x:c r="A672" s="5" t="str">
        <x:v>P8</x:v>
      </x:c>
      <x:c r="B672" s="5" t="str">
        <x:v>PXL_20230504_213408845_transcription.xlsx</x:v>
      </x:c>
      <x:c r="C672" s="5" t="str">
        <x:v>PXL_20230504_213408845_transcription_corrected.txt</x:v>
      </x:c>
      <x:c r="D672" s="5" t="str">
        <x:v>mlu_words</x:v>
      </x:c>
      <x:c r="E672" s="6" t="n">
        <x:v>14.614285714285714</x:v>
      </x:c>
      <x:c r="F672" s="6" t="n">
        <x:v>15.455</x:v>
      </x:c>
      <x:c r="G672" s="7" t="n">
        <x:f>IF(OR(E672="",F672="",F672=0),"",ABS(E672-F672)/ABS(F672))</x:f>
        <x:v>0.054397559735638056</x:v>
      </x:c>
      <x:c r="H672" s="5" t="str">
        <x:v>CLAN</x:v>
      </x:c>
    </x:row>
    <x:row r="673">
      <x:c r="A673" s="5" t="str">
        <x:v>P8</x:v>
      </x:c>
      <x:c r="B673" s="5" t="str">
        <x:v>PXL_20230504_213408845_transcription.xlsx</x:v>
      </x:c>
      <x:c r="C673" s="5" t="str">
        <x:v>PXL_20230504_213408845_transcription_corrected.txt</x:v>
      </x:c>
      <x:c r="D673" s="5" t="str">
        <x:v>mlu_words_sd</x:v>
      </x:c>
      <x:c r="E673" s="6" t="n">
        <x:v>12.176432572969869</x:v>
      </x:c>
      <x:c r="F673" s="6" t="n">
        <x:v>11.379</x:v>
      </x:c>
      <x:c r="G673" s="7" t="n">
        <x:f>IF(OR(E673="",F673="",F673=0),"",ABS(E673-F673)/ABS(F673))</x:f>
        <x:v>0.0700793191818147</x:v>
      </x:c>
      <x:c r="H673" s="5" t="str">
        <x:v>CLAN</x:v>
      </x:c>
    </x:row>
    <x:row r="674">
      <x:c r="A674" s="5" t="str">
        <x:v>P8</x:v>
      </x:c>
      <x:c r="B674" s="5" t="str">
        <x:v>PXL_20230504_214517738_transcription.xlsx</x:v>
      </x:c>
      <x:c r="C674" s="5" t="str">
        <x:v>PXL_20230504_214517738_transcription_corrected.txt</x:v>
      </x:c>
      <x:c r="D674" s="5" t="str">
        <x:v>basic_ntokens</x:v>
      </x:c>
      <x:c r="E674" s="6" t="n">
        <x:v>1120</x:v>
      </x:c>
      <x:c r="F674" s="6" t="n">
        <x:v>1118</x:v>
      </x:c>
      <x:c r="G674" s="7" t="n">
        <x:f>IF(OR(E674="",F674="",F674=0),"",ABS(E674-F674)/ABS(F674))</x:f>
        <x:v>0.0017889087656529517</x:v>
      </x:c>
      <x:c r="H674" s="5" t="str">
        <x:v>TAALED</x:v>
      </x:c>
    </x:row>
    <x:row r="675">
      <x:c r="A675" s="5" t="str">
        <x:v>P8</x:v>
      </x:c>
      <x:c r="B675" s="5" t="str">
        <x:v>PXL_20230504_214517738_transcription.xlsx</x:v>
      </x:c>
      <x:c r="C675" s="5" t="str">
        <x:v>PXL_20230504_214517738_transcription_corrected.txt</x:v>
      </x:c>
      <x:c r="D675" s="5" t="str">
        <x:v>basic_ntypes</x:v>
      </x:c>
      <x:c r="E675" s="6" t="n">
        <x:v>343</x:v>
      </x:c>
      <x:c r="F675" s="6" t="n">
        <x:v>348</x:v>
      </x:c>
      <x:c r="G675" s="7" t="n">
        <x:f>IF(OR(E675="",F675="",F675=0),"",ABS(E675-F675)/ABS(F675))</x:f>
        <x:v>0.014367816091954023</x:v>
      </x:c>
      <x:c r="H675" s="5" t="str">
        <x:v>TAALED</x:v>
      </x:c>
    </x:row>
    <x:row r="676">
      <x:c r="A676" s="5" t="str">
        <x:v>P8</x:v>
      </x:c>
      <x:c r="B676" s="5" t="str">
        <x:v>PXL_20230504_214517738_transcription.xlsx</x:v>
      </x:c>
      <x:c r="C676" s="5" t="str">
        <x:v>PXL_20230504_214517738_transcription_corrected.txt</x:v>
      </x:c>
      <x:c r="D676" s="5" t="str">
        <x:v>basic_ncontent_tokens</x:v>
      </x:c>
      <x:c r="E676" s="6" t="n">
        <x:v>468</x:v>
      </x:c>
      <x:c r="F676" s="6" t="n">
        <x:v>466</x:v>
      </x:c>
      <x:c r="G676" s="7" t="n">
        <x:f>IF(OR(E676="",F676="",F676=0),"",ABS(E676-F676)/ABS(F676))</x:f>
        <x:v>0.004291845493562232</x:v>
      </x:c>
      <x:c r="H676" s="5" t="str">
        <x:v>TAALED</x:v>
      </x:c>
    </x:row>
    <x:row r="677">
      <x:c r="A677" s="5" t="str">
        <x:v>P8</x:v>
      </x:c>
      <x:c r="B677" s="5" t="str">
        <x:v>PXL_20230504_214517738_transcription.xlsx</x:v>
      </x:c>
      <x:c r="C677" s="5" t="str">
        <x:v>PXL_20230504_214517738_transcription_corrected.txt</x:v>
      </x:c>
      <x:c r="D677" s="5" t="str">
        <x:v>basic_ncontent_types</x:v>
      </x:c>
      <x:c r="E677" s="6" t="n">
        <x:v>224</x:v>
      </x:c>
      <x:c r="F677" s="6" t="n">
        <x:v>227</x:v>
      </x:c>
      <x:c r="G677" s="7" t="n">
        <x:f>IF(OR(E677="",F677="",F677=0),"",ABS(E677-F677)/ABS(F677))</x:f>
        <x:v>0.013215859030837005</x:v>
      </x:c>
      <x:c r="H677" s="5" t="str">
        <x:v>TAALED</x:v>
      </x:c>
    </x:row>
    <x:row r="678">
      <x:c r="A678" s="5" t="str">
        <x:v>P8</x:v>
      </x:c>
      <x:c r="B678" s="5" t="str">
        <x:v>PXL_20230504_214517738_transcription.xlsx</x:v>
      </x:c>
      <x:c r="C678" s="5" t="str">
        <x:v>PXL_20230504_214517738_transcription_corrected.txt</x:v>
      </x:c>
      <x:c r="D678" s="5" t="str">
        <x:v>basic_nfunction_tokens</x:v>
      </x:c>
      <x:c r="E678" s="6" t="n">
        <x:v>652</x:v>
      </x:c>
      <x:c r="F678" s="6" t="n">
        <x:v>652</x:v>
      </x:c>
      <x:c r="G678" s="7" t="n">
        <x:f>IF(OR(E678="",F678="",F678=0),"",ABS(E678-F678)/ABS(F678))</x:f>
        <x:v>0</x:v>
      </x:c>
      <x:c r="H678" s="5" t="str">
        <x:v>TAALED</x:v>
      </x:c>
    </x:row>
    <x:row r="679">
      <x:c r="A679" s="5" t="str">
        <x:v>P8</x:v>
      </x:c>
      <x:c r="B679" s="5" t="str">
        <x:v>PXL_20230504_214517738_transcription.xlsx</x:v>
      </x:c>
      <x:c r="C679" s="5" t="str">
        <x:v>PXL_20230504_214517738_transcription_corrected.txt</x:v>
      </x:c>
      <x:c r="D679" s="5" t="str">
        <x:v>basic_nfunction_types</x:v>
      </x:c>
      <x:c r="E679" s="6" t="n">
        <x:v>119</x:v>
      </x:c>
      <x:c r="F679" s="6" t="n">
        <x:v>121</x:v>
      </x:c>
      <x:c r="G679" s="7" t="n">
        <x:f>IF(OR(E679="",F679="",F679=0),"",ABS(E679-F679)/ABS(F679))</x:f>
        <x:v>0.01652892561983471</x:v>
      </x:c>
      <x:c r="H679" s="5" t="str">
        <x:v>TAALED</x:v>
      </x:c>
    </x:row>
    <x:row r="680">
      <x:c r="A680" s="5" t="str">
        <x:v>P8</x:v>
      </x:c>
      <x:c r="B680" s="5" t="str">
        <x:v>PXL_20230504_214517738_transcription.xlsx</x:v>
      </x:c>
      <x:c r="C680" s="5" t="str">
        <x:v>PXL_20230504_214517738_transcription_corrected.txt</x:v>
      </x:c>
      <x:c r="D680" s="5" t="str">
        <x:v>lexical_density_tokens</x:v>
      </x:c>
      <x:c r="E680" s="6" t="n">
        <x:v>0.41785714285714287</x:v>
      </x:c>
      <x:c r="F680" s="6" t="n">
        <x:v>0.41681574239713776</x:v>
      </x:c>
      <x:c r="G680" s="7" t="n">
        <x:f>IF(OR(E680="",F680="",F680=0),"",ABS(E680-F680)/ABS(F680))</x:f>
        <x:v>0.002498467198038023</x:v>
      </x:c>
      <x:c r="H680" s="5" t="str">
        <x:v>TAALED</x:v>
      </x:c>
    </x:row>
    <x:row r="681">
      <x:c r="A681" s="5" t="str">
        <x:v>P8</x:v>
      </x:c>
      <x:c r="B681" s="5" t="str">
        <x:v>PXL_20230504_214517738_transcription.xlsx</x:v>
      </x:c>
      <x:c r="C681" s="5" t="str">
        <x:v>PXL_20230504_214517738_transcription_corrected.txt</x:v>
      </x:c>
      <x:c r="D681" s="5" t="str">
        <x:v>lexical_density_types</x:v>
      </x:c>
      <x:c r="E681" s="6" t="n">
        <x:v>0.6530612244897959</x:v>
      </x:c>
      <x:c r="F681" s="6" t="n">
        <x:v>0.6522988505747126</x:v>
      </x:c>
      <x:c r="G681" s="7" t="n">
        <x:f>IF(OR(E681="",F681="",F681=0),"",ABS(E681-F681)/ABS(F681))</x:f>
        <x:v>0.0011687494381012243</x:v>
      </x:c>
      <x:c r="H681" s="5" t="str">
        <x:v>TAALED</x:v>
      </x:c>
    </x:row>
    <x:row r="682">
      <x:c r="A682" s="5" t="str">
        <x:v>P8</x:v>
      </x:c>
      <x:c r="B682" s="5" t="str">
        <x:v>PXL_20230504_214517738_transcription.xlsx</x:v>
      </x:c>
      <x:c r="C682" s="5" t="str">
        <x:v>PXL_20230504_214517738_transcription_corrected.txt</x:v>
      </x:c>
      <x:c r="D682" s="5" t="str">
        <x:v>simple_ttr_aw</x:v>
      </x:c>
      <x:c r="E682" s="6" t="n">
        <x:v>0.30625</x:v>
      </x:c>
      <x:c r="F682" s="6" t="n">
        <x:v>0.3112701252236136</x:v>
      </x:c>
      <x:c r="G682" s="7" t="n">
        <x:f>IF(OR(E682="",F682="",F682=0),"",ABS(E682-F682)/ABS(F682))</x:f>
        <x:v>0.01612787356321827</x:v>
      </x:c>
      <x:c r="H682" s="5" t="str">
        <x:v>TAALED</x:v>
      </x:c>
    </x:row>
    <x:row r="683">
      <x:c r="A683" s="5" t="str">
        <x:v>P8</x:v>
      </x:c>
      <x:c r="B683" s="5" t="str">
        <x:v>PXL_20230504_214517738_transcription.xlsx</x:v>
      </x:c>
      <x:c r="C683" s="5" t="str">
        <x:v>PXL_20230504_214517738_transcription_corrected.txt</x:v>
      </x:c>
      <x:c r="D683" s="5" t="str">
        <x:v>root_ttr_aw</x:v>
      </x:c>
      <x:c r="E683" s="6" t="n">
        <x:v>10.249085325042426</x:v>
      </x:c>
      <x:c r="F683" s="6" t="n">
        <x:v>10.407785719249677</x:v>
      </x:c>
      <x:c r="G683" s="7" t="n">
        <x:f>IF(OR(E683="",F683="",F683=0),"",ABS(E683-F683)/ABS(F683))</x:f>
        <x:v>0.015248238048726126</x:v>
      </x:c>
      <x:c r="H683" s="5" t="str">
        <x:v>TAALED</x:v>
      </x:c>
    </x:row>
    <x:row r="684">
      <x:c r="A684" s="5" t="str">
        <x:v>P8</x:v>
      </x:c>
      <x:c r="B684" s="5" t="str">
        <x:v>PXL_20230504_214517738_transcription.xlsx</x:v>
      </x:c>
      <x:c r="C684" s="5" t="str">
        <x:v>PXL_20230504_214517738_transcription_corrected.txt</x:v>
      </x:c>
      <x:c r="D684" s="5" t="str">
        <x:v>log_ttr_aw</x:v>
      </x:c>
      <x:c r="E684" s="6" t="n">
        <x:v>0.8314571477649305</x:v>
      </x:c>
      <x:c r="F684" s="6" t="n">
        <x:v>0.8337306098435272</x:v>
      </x:c>
      <x:c r="G684" s="7" t="n">
        <x:f>IF(OR(E684="",F684="",F684=0),"",ABS(E684-F684)/ABS(F684))</x:f>
        <x:v>0.002726854516020909</x:v>
      </x:c>
      <x:c r="H684" s="5" t="str">
        <x:v>TAALED</x:v>
      </x:c>
    </x:row>
    <x:row r="685">
      <x:c r="A685" s="5" t="str">
        <x:v>P8</x:v>
      </x:c>
      <x:c r="B685" s="5" t="str">
        <x:v>PXL_20230504_214517738_transcription.xlsx</x:v>
      </x:c>
      <x:c r="C685" s="5" t="str">
        <x:v>PXL_20230504_214517738_transcription_corrected.txt</x:v>
      </x:c>
      <x:c r="D685" s="5" t="str">
        <x:v>maas_ttr_aw</x:v>
      </x:c>
      <x:c r="E685" s="6" t="n">
        <x:v>0.05527412306433816</x:v>
      </x:c>
      <x:c r="F685" s="6" t="n">
        <x:v>0.054542419003316744</x:v>
      </x:c>
      <x:c r="G685" s="7" t="n">
        <x:f>IF(OR(E685="",F685="",F685=0),"",ABS(E685-F685)/ABS(F685))</x:f>
        <x:v>0.013415321036218097</x:v>
      </x:c>
      <x:c r="H685" s="5" t="str">
        <x:v>TAALED</x:v>
      </x:c>
    </x:row>
    <x:row r="686">
      <x:c r="A686" s="5" t="str">
        <x:v>P8</x:v>
      </x:c>
      <x:c r="B686" s="5" t="str">
        <x:v>PXL_20230504_214517738_transcription.xlsx</x:v>
      </x:c>
      <x:c r="C686" s="5" t="str">
        <x:v>PXL_20230504_214517738_transcription_corrected.txt</x:v>
      </x:c>
      <x:c r="D686" s="5" t="str">
        <x:v>mattr50_aw</x:v>
      </x:c>
      <x:c r="E686" s="6" t="n">
        <x:v>0.7487768440709617</x:v>
      </x:c>
      <x:c r="F686" s="6" t="n">
        <x:v>0.7458372310570627</x:v>
      </x:c>
      <x:c r="G686" s="7" t="n">
        <x:f>IF(OR(E686="",F686="",F686=0),"",ABS(E686-F686)/ABS(F686))</x:f>
        <x:v>0.00394135997975421</x:v>
      </x:c>
      <x:c r="H686" s="5" t="str">
        <x:v>TAALED</x:v>
      </x:c>
    </x:row>
    <x:row r="687">
      <x:c r="A687" s="5" t="str">
        <x:v>P8</x:v>
      </x:c>
      <x:c r="B687" s="5" t="str">
        <x:v>PXL_20230504_214517738_transcription.xlsx</x:v>
      </x:c>
      <x:c r="C687" s="5" t="str">
        <x:v>PXL_20230504_214517738_transcription_corrected.txt</x:v>
      </x:c>
      <x:c r="D687" s="5" t="str">
        <x:v>msttr50_aw</x:v>
      </x:c>
      <x:c r="E687" s="6" t="n">
        <x:v>0.7418181818181818</x:v>
      </x:c>
      <x:c r="F687" s="6" t="n">
        <x:v>0.7381818181818182</x:v>
      </x:c>
      <x:c r="G687" s="7" t="n">
        <x:f>IF(OR(E687="",F687="",F687=0),"",ABS(E687-F687)/ABS(F687))</x:f>
        <x:v>0.004926108374384269</x:v>
      </x:c>
      <x:c r="H687" s="5" t="str">
        <x:v>TAALED</x:v>
      </x:c>
    </x:row>
    <x:row r="688">
      <x:c r="A688" s="5" t="str">
        <x:v>P8</x:v>
      </x:c>
      <x:c r="B688" s="5" t="str">
        <x:v>PXL_20230504_214517738_transcription.xlsx</x:v>
      </x:c>
      <x:c r="C688" s="5" t="str">
        <x:v>PXL_20230504_214517738_transcription_corrected.txt</x:v>
      </x:c>
      <x:c r="D688" s="5" t="str">
        <x:v>hdd42_aw</x:v>
      </x:c>
      <x:c r="E688" s="6" t="n">
        <x:v>0.8288996925597899</x:v>
      </x:c>
      <x:c r="F688" s="6" t="n">
        <x:v>0.8296106710768983</x:v>
      </x:c>
      <x:c r="G688" s="7" t="n">
        <x:f>IF(OR(E688="",F688="",F688=0),"",ABS(E688-F688)/ABS(F688))</x:f>
        <x:v>0.0008570026180901647</x:v>
      </x:c>
      <x:c r="H688" s="5" t="str">
        <x:v>TAALED</x:v>
      </x:c>
    </x:row>
    <x:row r="689">
      <x:c r="A689" s="5" t="str">
        <x:v>P8</x:v>
      </x:c>
      <x:c r="B689" s="5" t="str">
        <x:v>PXL_20230504_214517738_transcription.xlsx</x:v>
      </x:c>
      <x:c r="C689" s="5" t="str">
        <x:v>PXL_20230504_214517738_transcription_corrected.txt</x:v>
      </x:c>
      <x:c r="D689" s="5" t="str">
        <x:v>mtld_original_aw</x:v>
      </x:c>
      <x:c r="E689" s="6" t="n">
        <x:v>55.03448275862068</x:v>
      </x:c>
      <x:c r="F689" s="6" t="n">
        <x:v>53.81406724822138</x:v>
      </x:c>
      <x:c r="G689" s="7" t="n">
        <x:f>IF(OR(E689="",F689="",F689=0),"",ABS(E689-F689)/ABS(F689))</x:f>
        <x:v>0.022678373384603115</x:v>
      </x:c>
      <x:c r="H689" s="5" t="str">
        <x:v>TAALED</x:v>
      </x:c>
    </x:row>
    <x:row r="690">
      <x:c r="A690" s="5" t="str">
        <x:v>P8</x:v>
      </x:c>
      <x:c r="B690" s="5" t="str">
        <x:v>PXL_20230504_214517738_transcription.xlsx</x:v>
      </x:c>
      <x:c r="C690" s="5" t="str">
        <x:v>PXL_20230504_214517738_transcription_corrected.txt</x:v>
      </x:c>
      <x:c r="D690" s="5" t="str">
        <x:v>mtld_mean_factor_length_aw</x:v>
      </x:c>
      <x:c r="E690" s="6" t="n">
        <x:v>54.609756097560975</x:v>
      </x:c>
      <x:c r="F690" s="6" t="n">
        <x:v>53.65246031746032</x:v>
      </x:c>
      <x:c r="G690" s="7" t="n">
        <x:f>IF(OR(E690="",F690="",F690=0),"",ABS(E690-F690)/ABS(F690))</x:f>
        <x:v>0.01784253274568141</x:v>
      </x:c>
      <x:c r="H690" s="5" t="str">
        <x:v>TAALED</x:v>
      </x:c>
    </x:row>
    <x:row r="691">
      <x:c r="A691" s="5" t="str">
        <x:v>P8</x:v>
      </x:c>
      <x:c r="B691" s="5" t="str">
        <x:v>PXL_20230504_214517738_transcription.xlsx</x:v>
      </x:c>
      <x:c r="C691" s="5" t="str">
        <x:v>PXL_20230504_214517738_transcription_corrected.txt</x:v>
      </x:c>
      <x:c r="D691" s="5" t="str">
        <x:v>total_utterances</x:v>
      </x:c>
      <x:c r="E691" s="6" t="n">
        <x:v>64</x:v>
      </x:c>
      <x:c r="F691" s="6" t="n">
        <x:v>53</x:v>
      </x:c>
      <x:c r="G691" s="7" t="n">
        <x:f>IF(OR(E691="",F691="",F691=0),"",ABS(E691-F691)/ABS(F691))</x:f>
        <x:v>0.20754716981132076</x:v>
      </x:c>
      <x:c r="H691" s="5" t="str">
        <x:v>CLAN</x:v>
      </x:c>
    </x:row>
    <x:row r="692">
      <x:c r="A692" s="5" t="str">
        <x:v>P8</x:v>
      </x:c>
      <x:c r="B692" s="5" t="str">
        <x:v>PXL_20230504_214517738_transcription.xlsx</x:v>
      </x:c>
      <x:c r="C692" s="5" t="str">
        <x:v>PXL_20230504_214517738_transcription_corrected.txt</x:v>
      </x:c>
      <x:c r="D692" s="5" t="str">
        <x:v>total_words</x:v>
      </x:c>
      <x:c r="E692" s="6" t="n">
        <x:v>1079</x:v>
      </x:c>
      <x:c r="F692" s="6" t="n">
        <x:v>1082</x:v>
      </x:c>
      <x:c r="G692" s="7" t="n">
        <x:f>IF(OR(E692="",F692="",F692=0),"",ABS(E692-F692)/ABS(F692))</x:f>
        <x:v>0.0027726432532347504</x:v>
      </x:c>
      <x:c r="H692" s="5" t="str">
        <x:v>CLAN</x:v>
      </x:c>
    </x:row>
    <x:row r="693">
      <x:c r="A693" s="5" t="str">
        <x:v>P8</x:v>
      </x:c>
      <x:c r="B693" s="5" t="str">
        <x:v>PXL_20230504_214517738_transcription.xlsx</x:v>
      </x:c>
      <x:c r="C693" s="5" t="str">
        <x:v>PXL_20230504_214517738_transcription_corrected.txt</x:v>
      </x:c>
      <x:c r="D693" s="5" t="str">
        <x:v>mlu_words</x:v>
      </x:c>
      <x:c r="E693" s="6" t="n">
        <x:v>16.859375</x:v>
      </x:c>
      <x:c r="F693" s="6" t="n">
        <x:v>20.415</x:v>
      </x:c>
      <x:c r="G693" s="7" t="n">
        <x:f>IF(OR(E693="",F693="",F693=0),"",ABS(E693-F693)/ABS(F693))</x:f>
        <x:v>0.17416727896154785</x:v>
      </x:c>
      <x:c r="H693" s="5" t="str">
        <x:v>CLAN</x:v>
      </x:c>
    </x:row>
    <x:row r="694">
      <x:c r="A694" s="5" t="str">
        <x:v>P8</x:v>
      </x:c>
      <x:c r="B694" s="5" t="str">
        <x:v>PXL_20230504_214517738_transcription.xlsx</x:v>
      </x:c>
      <x:c r="C694" s="5" t="str">
        <x:v>PXL_20230504_214517738_transcription_corrected.txt</x:v>
      </x:c>
      <x:c r="D694" s="5" t="str">
        <x:v>mlu_words_sd</x:v>
      </x:c>
      <x:c r="E694" s="6" t="n">
        <x:v>10.685660934606478</x:v>
      </x:c>
      <x:c r="F694" s="6" t="n">
        <x:v>10.895</x:v>
      </x:c>
      <x:c r="G694" s="7" t="n">
        <x:f>IF(OR(E694="",F694="",F694=0),"",ABS(E694-F694)/ABS(F694))</x:f>
        <x:v>0.019214232711658712</x:v>
      </x:c>
      <x:c r="H694" s="5" t="str">
        <x:v>CLAN</x:v>
      </x:c>
    </x:row>
    <x:row r="695">
      <x:c r="A695" s="5" t="str">
        <x:v>P9</x:v>
      </x:c>
      <x:c r="B695" s="5" t="str">
        <x:v>PXL_20230511_202120395_transcription.xlsx</x:v>
      </x:c>
      <x:c r="C695" s="5" t="str">
        <x:v>PXL_20230511_202120395_transcription_corrected.txt</x:v>
      </x:c>
      <x:c r="D695" s="5" t="str">
        <x:v>basic_ntokens</x:v>
      </x:c>
      <x:c r="E695" s="6" t="n">
        <x:v>1153</x:v>
      </x:c>
      <x:c r="F695" s="6" t="n">
        <x:v>1168</x:v>
      </x:c>
      <x:c r="G695" s="7" t="n">
        <x:f>IF(OR(E695="",F695="",F695=0),"",ABS(E695-F695)/ABS(F695))</x:f>
        <x:v>0.012842465753424657</x:v>
      </x:c>
      <x:c r="H695" s="5" t="str">
        <x:v>TAALED</x:v>
      </x:c>
    </x:row>
    <x:row r="696">
      <x:c r="A696" s="5" t="str">
        <x:v>P9</x:v>
      </x:c>
      <x:c r="B696" s="5" t="str">
        <x:v>PXL_20230511_202120395_transcription.xlsx</x:v>
      </x:c>
      <x:c r="C696" s="5" t="str">
        <x:v>PXL_20230511_202120395_transcription_corrected.txt</x:v>
      </x:c>
      <x:c r="D696" s="5" t="str">
        <x:v>basic_ntypes</x:v>
      </x:c>
      <x:c r="E696" s="6" t="n">
        <x:v>361</x:v>
      </x:c>
      <x:c r="F696" s="6" t="n">
        <x:v>366</x:v>
      </x:c>
      <x:c r="G696" s="7" t="n">
        <x:f>IF(OR(E696="",F696="",F696=0),"",ABS(E696-F696)/ABS(F696))</x:f>
        <x:v>0.01366120218579235</x:v>
      </x:c>
      <x:c r="H696" s="5" t="str">
        <x:v>TAALED</x:v>
      </x:c>
    </x:row>
    <x:row r="697">
      <x:c r="A697" s="5" t="str">
        <x:v>P9</x:v>
      </x:c>
      <x:c r="B697" s="5" t="str">
        <x:v>PXL_20230511_202120395_transcription.xlsx</x:v>
      </x:c>
      <x:c r="C697" s="5" t="str">
        <x:v>PXL_20230511_202120395_transcription_corrected.txt</x:v>
      </x:c>
      <x:c r="D697" s="5" t="str">
        <x:v>basic_ncontent_tokens</x:v>
      </x:c>
      <x:c r="E697" s="6" t="n">
        <x:v>460</x:v>
      </x:c>
      <x:c r="F697" s="6" t="n">
        <x:v>468</x:v>
      </x:c>
      <x:c r="G697" s="7" t="n">
        <x:f>IF(OR(E697="",F697="",F697=0),"",ABS(E697-F697)/ABS(F697))</x:f>
        <x:v>0.017094017094017096</x:v>
      </x:c>
      <x:c r="H697" s="5" t="str">
        <x:v>TAALED</x:v>
      </x:c>
    </x:row>
    <x:row r="698">
      <x:c r="A698" s="5" t="str">
        <x:v>P9</x:v>
      </x:c>
      <x:c r="B698" s="5" t="str">
        <x:v>PXL_20230511_202120395_transcription.xlsx</x:v>
      </x:c>
      <x:c r="C698" s="5" t="str">
        <x:v>PXL_20230511_202120395_transcription_corrected.txt</x:v>
      </x:c>
      <x:c r="D698" s="5" t="str">
        <x:v>basic_ncontent_types</x:v>
      </x:c>
      <x:c r="E698" s="6" t="n">
        <x:v>245</x:v>
      </x:c>
      <x:c r="F698" s="6" t="n">
        <x:v>249</x:v>
      </x:c>
      <x:c r="G698" s="7" t="n">
        <x:f>IF(OR(E698="",F698="",F698=0),"",ABS(E698-F698)/ABS(F698))</x:f>
        <x:v>0.01606425702811245</x:v>
      </x:c>
      <x:c r="H698" s="5" t="str">
        <x:v>TAALED</x:v>
      </x:c>
    </x:row>
    <x:row r="699">
      <x:c r="A699" s="5" t="str">
        <x:v>P9</x:v>
      </x:c>
      <x:c r="B699" s="5" t="str">
        <x:v>PXL_20230511_202120395_transcription.xlsx</x:v>
      </x:c>
      <x:c r="C699" s="5" t="str">
        <x:v>PXL_20230511_202120395_transcription_corrected.txt</x:v>
      </x:c>
      <x:c r="D699" s="5" t="str">
        <x:v>basic_nfunction_tokens</x:v>
      </x:c>
      <x:c r="E699" s="6" t="n">
        <x:v>693</x:v>
      </x:c>
      <x:c r="F699" s="6" t="n">
        <x:v>700</x:v>
      </x:c>
      <x:c r="G699" s="7" t="n">
        <x:f>IF(OR(E699="",F699="",F699=0),"",ABS(E699-F699)/ABS(F699))</x:f>
        <x:v>0.01</x:v>
      </x:c>
      <x:c r="H699" s="5" t="str">
        <x:v>TAALED</x:v>
      </x:c>
    </x:row>
    <x:row r="700">
      <x:c r="A700" s="5" t="str">
        <x:v>P9</x:v>
      </x:c>
      <x:c r="B700" s="5" t="str">
        <x:v>PXL_20230511_202120395_transcription.xlsx</x:v>
      </x:c>
      <x:c r="C700" s="5" t="str">
        <x:v>PXL_20230511_202120395_transcription_corrected.txt</x:v>
      </x:c>
      <x:c r="D700" s="5" t="str">
        <x:v>basic_nfunction_types</x:v>
      </x:c>
      <x:c r="E700" s="6" t="n">
        <x:v>116</x:v>
      </x:c>
      <x:c r="F700" s="6" t="n">
        <x:v>117</x:v>
      </x:c>
      <x:c r="G700" s="7" t="n">
        <x:f>IF(OR(E700="",F700="",F700=0),"",ABS(E700-F700)/ABS(F700))</x:f>
        <x:v>0.008547008547008548</x:v>
      </x:c>
      <x:c r="H700" s="5" t="str">
        <x:v>TAALED</x:v>
      </x:c>
    </x:row>
    <x:row r="701">
      <x:c r="A701" s="5" t="str">
        <x:v>P9</x:v>
      </x:c>
      <x:c r="B701" s="5" t="str">
        <x:v>PXL_20230511_202120395_transcription.xlsx</x:v>
      </x:c>
      <x:c r="C701" s="5" t="str">
        <x:v>PXL_20230511_202120395_transcription_corrected.txt</x:v>
      </x:c>
      <x:c r="D701" s="5" t="str">
        <x:v>lexical_density_tokens</x:v>
      </x:c>
      <x:c r="E701" s="6" t="n">
        <x:v>0.398959236773634</x:v>
      </x:c>
      <x:c r="F701" s="6" t="n">
        <x:v>0.4006849315068493</x:v>
      </x:c>
      <x:c r="G701" s="7" t="n">
        <x:f>IF(OR(E701="",F701="",F701=0),"",ABS(E701-F701)/ABS(F701))</x:f>
        <x:v>0.004306862069221144</x:v>
      </x:c>
      <x:c r="H701" s="5" t="str">
        <x:v>TAALED</x:v>
      </x:c>
    </x:row>
    <x:row r="702">
      <x:c r="A702" s="5" t="str">
        <x:v>P9</x:v>
      </x:c>
      <x:c r="B702" s="5" t="str">
        <x:v>PXL_20230511_202120395_transcription.xlsx</x:v>
      </x:c>
      <x:c r="C702" s="5" t="str">
        <x:v>PXL_20230511_202120395_transcription_corrected.txt</x:v>
      </x:c>
      <x:c r="D702" s="5" t="str">
        <x:v>lexical_density_types</x:v>
      </x:c>
      <x:c r="E702" s="6" t="n">
        <x:v>0.6786703601108033</x:v>
      </x:c>
      <x:c r="F702" s="6" t="n">
        <x:v>0.680327868852459</x:v>
      </x:c>
      <x:c r="G702" s="7" t="n">
        <x:f>IF(OR(E702="",F702="",F702=0),"",ABS(E702-F702)/ABS(F702))</x:f>
        <x:v>0.0024363381503855032</x:v>
      </x:c>
      <x:c r="H702" s="5" t="str">
        <x:v>TAALED</x:v>
      </x:c>
    </x:row>
    <x:row r="703">
      <x:c r="A703" s="5" t="str">
        <x:v>P9</x:v>
      </x:c>
      <x:c r="B703" s="5" t="str">
        <x:v>PXL_20230511_202120395_transcription.xlsx</x:v>
      </x:c>
      <x:c r="C703" s="5" t="str">
        <x:v>PXL_20230511_202120395_transcription_corrected.txt</x:v>
      </x:c>
      <x:c r="D703" s="5" t="str">
        <x:v>simple_ttr_aw</x:v>
      </x:c>
      <x:c r="E703" s="6" t="n">
        <x:v>0.31309627059843886</x:v>
      </x:c>
      <x:c r="F703" s="6" t="n">
        <x:v>0.3133561643835616</x:v>
      </x:c>
      <x:c r="G703" s="7" t="n">
        <x:f>IF(OR(E703="",F703="",F703=0),"",ABS(E703-F703)/ABS(F703))</x:f>
        <x:v>0.0008293878170037666</x:v>
      </x:c>
      <x:c r="H703" s="5" t="str">
        <x:v>TAALED</x:v>
      </x:c>
    </x:row>
    <x:row r="704">
      <x:c r="A704" s="5" t="str">
        <x:v>P9</x:v>
      </x:c>
      <x:c r="B704" s="5" t="str">
        <x:v>PXL_20230511_202120395_transcription.xlsx</x:v>
      </x:c>
      <x:c r="C704" s="5" t="str">
        <x:v>PXL_20230511_202120395_transcription_corrected.txt</x:v>
      </x:c>
      <x:c r="D704" s="5" t="str">
        <x:v>root_ttr_aw</x:v>
      </x:c>
      <x:c r="E704" s="6" t="n">
        <x:v>10.631451156170375</x:v>
      </x:c>
      <x:c r="F704" s="6" t="n">
        <x:v>10.709264968445948</x:v>
      </x:c>
      <x:c r="G704" s="7" t="n">
        <x:f>IF(OR(E704="",F704="",F704=0),"",ABS(E704-F704)/ABS(F704))</x:f>
        <x:v>0.007266027360873639</x:v>
      </x:c>
      <x:c r="H704" s="5" t="str">
        <x:v>TAALED</x:v>
      </x:c>
    </x:row>
    <x:row r="705">
      <x:c r="A705" s="5" t="str">
        <x:v>P9</x:v>
      </x:c>
      <x:c r="B705" s="5" t="str">
        <x:v>PXL_20230511_202120395_transcription.xlsx</x:v>
      </x:c>
      <x:c r="C705" s="5" t="str">
        <x:v>PXL_20230511_202120395_transcription_corrected.txt</x:v>
      </x:c>
      <x:c r="D705" s="5" t="str">
        <x:v>log_ttr_aw</x:v>
      </x:c>
      <x:c r="E705" s="6" t="n">
        <x:v>0.8352873218021946</x:v>
      </x:c>
      <x:c r="F705" s="6" t="n">
        <x:v>0.8357062272345952</x:v>
      </x:c>
      <x:c r="G705" s="7" t="n">
        <x:f>IF(OR(E705="",F705="",F705=0),"",ABS(E705-F705)/ABS(F705))</x:f>
        <x:v>0.000501259197010922</x:v>
      </x:c>
      <x:c r="H705" s="5" t="str">
        <x:v>TAALED</x:v>
      </x:c>
    </x:row>
    <x:row r="706">
      <x:c r="A706" s="5" t="str">
        <x:v>P9</x:v>
      </x:c>
      <x:c r="B706" s="5" t="str">
        <x:v>PXL_20230511_202120395_transcription.xlsx</x:v>
      </x:c>
      <x:c r="C706" s="5" t="str">
        <x:v>PXL_20230511_202120395_transcription_corrected.txt</x:v>
      </x:c>
      <x:c r="D706" s="5" t="str">
        <x:v>maas_ttr_aw</x:v>
      </x:c>
      <x:c r="E706" s="6" t="n">
        <x:v>0.05379551296520134</x:v>
      </x:c>
      <x:c r="F706" s="6" t="n">
        <x:v>0.05356050012547274</x:v>
      </x:c>
      <x:c r="G706" s="7" t="n">
        <x:f>IF(OR(E706="",F706="",F706=0),"",ABS(E706-F706)/ABS(F706))</x:f>
        <x:v>0.004387801442817924</x:v>
      </x:c>
      <x:c r="H706" s="5" t="str">
        <x:v>TAALED</x:v>
      </x:c>
    </x:row>
    <x:row r="707">
      <x:c r="A707" s="5" t="str">
        <x:v>P9</x:v>
      </x:c>
      <x:c r="B707" s="5" t="str">
        <x:v>PXL_20230511_202120395_transcription.xlsx</x:v>
      </x:c>
      <x:c r="C707" s="5" t="str">
        <x:v>PXL_20230511_202120395_transcription_corrected.txt</x:v>
      </x:c>
      <x:c r="D707" s="5" t="str">
        <x:v>mattr50_aw</x:v>
      </x:c>
      <x:c r="E707" s="6" t="n">
        <x:v>0.7242753623188406</x:v>
      </x:c>
      <x:c r="F707" s="6" t="n">
        <x:v>0.724325290437891</x:v>
      </x:c>
      <x:c r="G707" s="7" t="n">
        <x:f>IF(OR(E707="",F707="",F707=0),"",ABS(E707-F707)/ABS(F707))</x:f>
        <x:v>0.00006893052018130347</x:v>
      </x:c>
      <x:c r="H707" s="5" t="str">
        <x:v>TAALED</x:v>
      </x:c>
    </x:row>
    <x:row r="708">
      <x:c r="A708" s="5" t="str">
        <x:v>P9</x:v>
      </x:c>
      <x:c r="B708" s="5" t="str">
        <x:v>PXL_20230511_202120395_transcription.xlsx</x:v>
      </x:c>
      <x:c r="C708" s="5" t="str">
        <x:v>PXL_20230511_202120395_transcription_corrected.txt</x:v>
      </x:c>
      <x:c r="D708" s="5" t="str">
        <x:v>msttr50_aw</x:v>
      </x:c>
      <x:c r="E708" s="6" t="n">
        <x:v>0.72</x:v>
      </x:c>
      <x:c r="F708" s="6" t="n">
        <x:v>0.7208695652173912</x:v>
      </x:c>
      <x:c r="G708" s="7" t="n">
        <x:f>IF(OR(E708="",F708="",F708=0),"",ABS(E708-F708)/ABS(F708))</x:f>
        <x:v>0.001206272617611481</x:v>
      </x:c>
      <x:c r="H708" s="5" t="str">
        <x:v>TAALED</x:v>
      </x:c>
    </x:row>
    <x:row r="709">
      <x:c r="A709" s="5" t="str">
        <x:v>P9</x:v>
      </x:c>
      <x:c r="B709" s="5" t="str">
        <x:v>PXL_20230511_202120395_transcription.xlsx</x:v>
      </x:c>
      <x:c r="C709" s="5" t="str">
        <x:v>PXL_20230511_202120395_transcription_corrected.txt</x:v>
      </x:c>
      <x:c r="D709" s="5" t="str">
        <x:v>hdd42_aw</x:v>
      </x:c>
      <x:c r="E709" s="6" t="n">
        <x:v>0.8033873300417944</x:v>
      </x:c>
      <x:c r="F709" s="6" t="n">
        <x:v>0.8064248528702525</x:v>
      </x:c>
      <x:c r="G709" s="7" t="n">
        <x:f>IF(OR(E709="",F709="",F709=0),"",ABS(E709-F709)/ABS(F709))</x:f>
        <x:v>0.0037666532940382395</x:v>
      </x:c>
      <x:c r="H709" s="5" t="str">
        <x:v>TAALED</x:v>
      </x:c>
    </x:row>
    <x:row r="710">
      <x:c r="A710" s="5" t="str">
        <x:v>P9</x:v>
      </x:c>
      <x:c r="B710" s="5" t="str">
        <x:v>PXL_20230511_202120395_transcription.xlsx</x:v>
      </x:c>
      <x:c r="C710" s="5" t="str">
        <x:v>PXL_20230511_202120395_transcription_corrected.txt</x:v>
      </x:c>
      <x:c r="D710" s="5" t="str">
        <x:v>mtld_original_aw</x:v>
      </x:c>
      <x:c r="E710" s="6" t="n">
        <x:v>40.70161210757907</x:v>
      </x:c>
      <x:c r="F710" s="6" t="n">
        <x:v>41.869136003916125</x:v>
      </x:c>
      <x:c r="G710" s="7" t="n">
        <x:f>IF(OR(E710="",F710="",F710=0),"",ABS(E710-F710)/ABS(F710))</x:f>
        <x:v>0.027885072580142334</x:v>
      </x:c>
      <x:c r="H710" s="5" t="str">
        <x:v>TAALED</x:v>
      </x:c>
    </x:row>
    <x:row r="711">
      <x:c r="A711" s="5" t="str">
        <x:v>P9</x:v>
      </x:c>
      <x:c r="B711" s="5" t="str">
        <x:v>PXL_20230511_202120395_transcription.xlsx</x:v>
      </x:c>
      <x:c r="C711" s="5" t="str">
        <x:v>PXL_20230511_202120395_transcription_corrected.txt</x:v>
      </x:c>
      <x:c r="D711" s="5" t="str">
        <x:v>mtld_mean_factor_length_aw</x:v>
      </x:c>
      <x:c r="E711" s="6" t="n">
        <x:v>40.397894736842105</x:v>
      </x:c>
      <x:c r="F711" s="6" t="n">
        <x:v>41.654999999999994</x:v>
      </x:c>
      <x:c r="G711" s="7" t="n">
        <x:f>IF(OR(E711="",F711="",F711=0),"",ABS(E711-F711)/ABS(F711))</x:f>
        <x:v>0.030178976429189524</x:v>
      </x:c>
      <x:c r="H711" s="5" t="str">
        <x:v>TAALED</x:v>
      </x:c>
    </x:row>
    <x:row r="712">
      <x:c r="A712" s="5" t="str">
        <x:v>P9</x:v>
      </x:c>
      <x:c r="B712" s="5" t="str">
        <x:v>PXL_20230511_202120395_transcription.xlsx</x:v>
      </x:c>
      <x:c r="C712" s="5" t="str">
        <x:v>PXL_20230511_202120395_transcription_corrected.txt</x:v>
      </x:c>
      <x:c r="D712" s="5" t="str">
        <x:v>total_utterances</x:v>
      </x:c>
      <x:c r="E712" s="6" t="n">
        <x:v>66</x:v>
      </x:c>
      <x:c r="F712" s="6" t="n">
        <x:v>65</x:v>
      </x:c>
      <x:c r="G712" s="7" t="n">
        <x:f>IF(OR(E712="",F712="",F712=0),"",ABS(E712-F712)/ABS(F712))</x:f>
        <x:v>0.015384615384615385</x:v>
      </x:c>
      <x:c r="H712" s="5" t="str">
        <x:v>CLAN</x:v>
      </x:c>
    </x:row>
    <x:row r="713">
      <x:c r="A713" s="5" t="str">
        <x:v>P9</x:v>
      </x:c>
      <x:c r="B713" s="5" t="str">
        <x:v>PXL_20230511_202120395_transcription.xlsx</x:v>
      </x:c>
      <x:c r="C713" s="5" t="str">
        <x:v>PXL_20230511_202120395_transcription_corrected.txt</x:v>
      </x:c>
      <x:c r="D713" s="5" t="str">
        <x:v>total_words</x:v>
      </x:c>
      <x:c r="E713" s="6" t="n">
        <x:v>1154</x:v>
      </x:c>
      <x:c r="F713" s="6" t="n">
        <x:v>1163</x:v>
      </x:c>
      <x:c r="G713" s="7" t="n">
        <x:f>IF(OR(E713="",F713="",F713=0),"",ABS(E713-F713)/ABS(F713))</x:f>
        <x:v>0.007738607050730868</x:v>
      </x:c>
      <x:c r="H713" s="5" t="str">
        <x:v>CLAN</x:v>
      </x:c>
    </x:row>
    <x:row r="714">
      <x:c r="A714" s="5" t="str">
        <x:v>P9</x:v>
      </x:c>
      <x:c r="B714" s="5" t="str">
        <x:v>PXL_20230511_202120395_transcription.xlsx</x:v>
      </x:c>
      <x:c r="C714" s="5" t="str">
        <x:v>PXL_20230511_202120395_transcription_corrected.txt</x:v>
      </x:c>
      <x:c r="D714" s="5" t="str">
        <x:v>mlu_words</x:v>
      </x:c>
      <x:c r="E714" s="6" t="n">
        <x:v>17.484848484848484</x:v>
      </x:c>
      <x:c r="F714" s="6" t="n">
        <x:v>17.892</x:v>
      </x:c>
      <x:c r="G714" s="7" t="n">
        <x:f>IF(OR(E714="",F714="",F714=0),"",ABS(E714-F714)/ABS(F714))</x:f>
        <x:v>0.02275606500958613</x:v>
      </x:c>
      <x:c r="H714" s="5" t="str">
        <x:v>CLAN</x:v>
      </x:c>
    </x:row>
    <x:row r="715">
      <x:c r="A715" s="5" t="str">
        <x:v>P9</x:v>
      </x:c>
      <x:c r="B715" s="5" t="str">
        <x:v>PXL_20230511_202120395_transcription.xlsx</x:v>
      </x:c>
      <x:c r="C715" s="5" t="str">
        <x:v>PXL_20230511_202120395_transcription_corrected.txt</x:v>
      </x:c>
      <x:c r="D715" s="5" t="str">
        <x:v>mlu_words_sd</x:v>
      </x:c>
      <x:c r="E715" s="6" t="n">
        <x:v>8.303417376511813</x:v>
      </x:c>
      <x:c r="F715" s="6" t="n">
        <x:v>8.071</x:v>
      </x:c>
      <x:c r="G715" s="7" t="n">
        <x:f>IF(OR(E715="",F715="",F715=0),"",ABS(E715-F715)/ABS(F715))</x:f>
        <x:v>0.028796602219280584</x:v>
      </x:c>
      <x:c r="H715" s="5" t="str">
        <x:v>CLAN</x:v>
      </x:c>
    </x:row>
    <x:row r="716">
      <x:c r="A716" s="5" t="str">
        <x:v>P9</x:v>
      </x:c>
      <x:c r="B716" s="5" t="str">
        <x:v>PXL_20230511_202957414_transcription.xlsx</x:v>
      </x:c>
      <x:c r="C716" s="5" t="str">
        <x:v>PXL_20230511_202957414_transcription_corrected.txt</x:v>
      </x:c>
      <x:c r="D716" s="5" t="str">
        <x:v>basic_ntokens</x:v>
      </x:c>
      <x:c r="E716" s="6" t="n">
        <x:v>1311</x:v>
      </x:c>
      <x:c r="F716" s="6" t="n">
        <x:v>1319</x:v>
      </x:c>
      <x:c r="G716" s="7" t="n">
        <x:f>IF(OR(E716="",F716="",F716=0),"",ABS(E716-F716)/ABS(F716))</x:f>
        <x:v>0.006065200909780136</x:v>
      </x:c>
      <x:c r="H716" s="5" t="str">
        <x:v>TAALED</x:v>
      </x:c>
    </x:row>
    <x:row r="717">
      <x:c r="A717" s="5" t="str">
        <x:v>P9</x:v>
      </x:c>
      <x:c r="B717" s="5" t="str">
        <x:v>PXL_20230511_202957414_transcription.xlsx</x:v>
      </x:c>
      <x:c r="C717" s="5" t="str">
        <x:v>PXL_20230511_202957414_transcription_corrected.txt</x:v>
      </x:c>
      <x:c r="D717" s="5" t="str">
        <x:v>basic_ntypes</x:v>
      </x:c>
      <x:c r="E717" s="6" t="n">
        <x:v>413</x:v>
      </x:c>
      <x:c r="F717" s="6" t="n">
        <x:v>411</x:v>
      </x:c>
      <x:c r="G717" s="7" t="n">
        <x:f>IF(OR(E717="",F717="",F717=0),"",ABS(E717-F717)/ABS(F717))</x:f>
        <x:v>0.004866180048661801</x:v>
      </x:c>
      <x:c r="H717" s="5" t="str">
        <x:v>TAALED</x:v>
      </x:c>
    </x:row>
    <x:row r="718">
      <x:c r="A718" s="5" t="str">
        <x:v>P9</x:v>
      </x:c>
      <x:c r="B718" s="5" t="str">
        <x:v>PXL_20230511_202957414_transcription.xlsx</x:v>
      </x:c>
      <x:c r="C718" s="5" t="str">
        <x:v>PXL_20230511_202957414_transcription_corrected.txt</x:v>
      </x:c>
      <x:c r="D718" s="5" t="str">
        <x:v>basic_ncontent_tokens</x:v>
      </x:c>
      <x:c r="E718" s="6" t="n">
        <x:v>523</x:v>
      </x:c>
      <x:c r="F718" s="6" t="n">
        <x:v>520</x:v>
      </x:c>
      <x:c r="G718" s="7" t="n">
        <x:f>IF(OR(E718="",F718="",F718=0),"",ABS(E718-F718)/ABS(F718))</x:f>
        <x:v>0.0057692307692307696</x:v>
      </x:c>
      <x:c r="H718" s="5" t="str">
        <x:v>TAALED</x:v>
      </x:c>
    </x:row>
    <x:row r="719">
      <x:c r="A719" s="5" t="str">
        <x:v>P9</x:v>
      </x:c>
      <x:c r="B719" s="5" t="str">
        <x:v>PXL_20230511_202957414_transcription.xlsx</x:v>
      </x:c>
      <x:c r="C719" s="5" t="str">
        <x:v>PXL_20230511_202957414_transcription_corrected.txt</x:v>
      </x:c>
      <x:c r="D719" s="5" t="str">
        <x:v>basic_ncontent_types</x:v>
      </x:c>
      <x:c r="E719" s="6" t="n">
        <x:v>293</x:v>
      </x:c>
      <x:c r="F719" s="6" t="n">
        <x:v>291</x:v>
      </x:c>
      <x:c r="G719" s="7" t="n">
        <x:f>IF(OR(E719="",F719="",F719=0),"",ABS(E719-F719)/ABS(F719))</x:f>
        <x:v>0.006872852233676976</x:v>
      </x:c>
      <x:c r="H719" s="5" t="str">
        <x:v>TAALED</x:v>
      </x:c>
    </x:row>
    <x:row r="720">
      <x:c r="A720" s="5" t="str">
        <x:v>P9</x:v>
      </x:c>
      <x:c r="B720" s="5" t="str">
        <x:v>PXL_20230511_202957414_transcription.xlsx</x:v>
      </x:c>
      <x:c r="C720" s="5" t="str">
        <x:v>PXL_20230511_202957414_transcription_corrected.txt</x:v>
      </x:c>
      <x:c r="D720" s="5" t="str">
        <x:v>basic_nfunction_tokens</x:v>
      </x:c>
      <x:c r="E720" s="6" t="n">
        <x:v>788</x:v>
      </x:c>
      <x:c r="F720" s="6" t="n">
        <x:v>799</x:v>
      </x:c>
      <x:c r="G720" s="7" t="n">
        <x:f>IF(OR(E720="",F720="",F720=0),"",ABS(E720-F720)/ABS(F720))</x:f>
        <x:v>0.01376720901126408</x:v>
      </x:c>
      <x:c r="H720" s="5" t="str">
        <x:v>TAALED</x:v>
      </x:c>
    </x:row>
    <x:row r="721">
      <x:c r="A721" s="5" t="str">
        <x:v>P9</x:v>
      </x:c>
      <x:c r="B721" s="5" t="str">
        <x:v>PXL_20230511_202957414_transcription.xlsx</x:v>
      </x:c>
      <x:c r="C721" s="5" t="str">
        <x:v>PXL_20230511_202957414_transcription_corrected.txt</x:v>
      </x:c>
      <x:c r="D721" s="5" t="str">
        <x:v>basic_nfunction_types</x:v>
      </x:c>
      <x:c r="E721" s="6" t="n">
        <x:v>120</x:v>
      </x:c>
      <x:c r="F721" s="6" t="n">
        <x:v>120</x:v>
      </x:c>
      <x:c r="G721" s="7" t="n">
        <x:f>IF(OR(E721="",F721="",F721=0),"",ABS(E721-F721)/ABS(F721))</x:f>
        <x:v>0</x:v>
      </x:c>
      <x:c r="H721" s="5" t="str">
        <x:v>TAALED</x:v>
      </x:c>
    </x:row>
    <x:row r="722">
      <x:c r="A722" s="5" t="str">
        <x:v>P9</x:v>
      </x:c>
      <x:c r="B722" s="5" t="str">
        <x:v>PXL_20230511_202957414_transcription.xlsx</x:v>
      </x:c>
      <x:c r="C722" s="5" t="str">
        <x:v>PXL_20230511_202957414_transcription_corrected.txt</x:v>
      </x:c>
      <x:c r="D722" s="5" t="str">
        <x:v>lexical_density_tokens</x:v>
      </x:c>
      <x:c r="E722" s="6" t="n">
        <x:v>0.39893211289092295</x:v>
      </x:c>
      <x:c r="F722" s="6" t="n">
        <x:v>0.39423805913570886</x:v>
      </x:c>
      <x:c r="G722" s="7" t="n">
        <x:f>IF(OR(E722="",F722="",F722=0),"",ABS(E722-F722)/ABS(F722))</x:f>
        <x:v>0.011906647890629585</x:v>
      </x:c>
      <x:c r="H722" s="5" t="str">
        <x:v>TAALED</x:v>
      </x:c>
    </x:row>
    <x:row r="723">
      <x:c r="A723" s="5" t="str">
        <x:v>P9</x:v>
      </x:c>
      <x:c r="B723" s="5" t="str">
        <x:v>PXL_20230511_202957414_transcription.xlsx</x:v>
      </x:c>
      <x:c r="C723" s="5" t="str">
        <x:v>PXL_20230511_202957414_transcription_corrected.txt</x:v>
      </x:c>
      <x:c r="D723" s="5" t="str">
        <x:v>lexical_density_types</x:v>
      </x:c>
      <x:c r="E723" s="6" t="n">
        <x:v>0.7094430992736077</x:v>
      </x:c>
      <x:c r="F723" s="6" t="n">
        <x:v>0.708029197080292</x:v>
      </x:c>
      <x:c r="G723" s="7" t="n">
        <x:f>IF(OR(E723="",F723="",F723=0),"",ABS(E723-F723)/ABS(F723))</x:f>
        <x:v>0.001996954644167562</x:v>
      </x:c>
      <x:c r="H723" s="5" t="str">
        <x:v>TAALED</x:v>
      </x:c>
    </x:row>
    <x:row r="724">
      <x:c r="A724" s="5" t="str">
        <x:v>P9</x:v>
      </x:c>
      <x:c r="B724" s="5" t="str">
        <x:v>PXL_20230511_202957414_transcription.xlsx</x:v>
      </x:c>
      <x:c r="C724" s="5" t="str">
        <x:v>PXL_20230511_202957414_transcription_corrected.txt</x:v>
      </x:c>
      <x:c r="D724" s="5" t="str">
        <x:v>simple_ttr_aw</x:v>
      </x:c>
      <x:c r="E724" s="6" t="n">
        <x:v>0.3150266971777269</x:v>
      </x:c>
      <x:c r="F724" s="6" t="n">
        <x:v>0.3115996967399545</x:v>
      </x:c>
      <x:c r="G724" s="7" t="n">
        <x:f>IF(OR(E724="",F724="",F724=0),"",ABS(E724-F724)/ABS(F724))</x:f>
        <x:v>0.010998086563070022</x:v>
      </x:c>
      <x:c r="H724" s="5" t="str">
        <x:v>TAALED</x:v>
      </x:c>
    </x:row>
    <x:row r="725">
      <x:c r="A725" s="5" t="str">
        <x:v>P9</x:v>
      </x:c>
      <x:c r="B725" s="5" t="str">
        <x:v>PXL_20230511_202957414_transcription.xlsx</x:v>
      </x:c>
      <x:c r="C725" s="5" t="str">
        <x:v>PXL_20230511_202957414_transcription_corrected.txt</x:v>
      </x:c>
      <x:c r="D725" s="5" t="str">
        <x:v>root_ttr_aw</x:v>
      </x:c>
      <x:c r="E725" s="6" t="n">
        <x:v>11.40640284815512</x:v>
      </x:c>
      <x:c r="F725" s="6" t="n">
        <x:v>11.316690123888755</x:v>
      </x:c>
      <x:c r="G725" s="7" t="n">
        <x:f>IF(OR(E725="",F725="",F725=0),"",ABS(E725-F725)/ABS(F725))</x:f>
        <x:v>0.007927470248300542</x:v>
      </x:c>
      <x:c r="H725" s="5" t="str">
        <x:v>TAALED</x:v>
      </x:c>
    </x:row>
    <x:row r="726">
      <x:c r="A726" s="5" t="str">
        <x:v>P9</x:v>
      </x:c>
      <x:c r="B726" s="5" t="str">
        <x:v>PXL_20230511_202957414_transcription.xlsx</x:v>
      </x:c>
      <x:c r="C726" s="5" t="str">
        <x:v>PXL_20230511_202957414_transcription_corrected.txt</x:v>
      </x:c>
      <x:c r="D726" s="5" t="str">
        <x:v>log_ttr_aw</x:v>
      </x:c>
      <x:c r="E726" s="6" t="n">
        <x:v>0.8390902595218982</x:v>
      </x:c>
      <x:c r="F726" s="6" t="n">
        <x:v>0.8377040883480993</x:v>
      </x:c>
      <x:c r="G726" s="7" t="n">
        <x:f>IF(OR(E726="",F726="",F726=0),"",ABS(E726-F726)/ABS(F726))</x:f>
        <x:v>0.0016547265234581286</x:v>
      </x:c>
      <x:c r="H726" s="5" t="str">
        <x:v>TAALED</x:v>
      </x:c>
    </x:row>
    <x:row r="727">
      <x:c r="A727" s="5" t="str">
        <x:v>P9</x:v>
      </x:c>
      <x:c r="B727" s="5" t="str">
        <x:v>PXL_20230511_202957414_transcription.xlsx</x:v>
      </x:c>
      <x:c r="C727" s="5" t="str">
        <x:v>PXL_20230511_202957414_transcription_corrected.txt</x:v>
      </x:c>
      <x:c r="D727" s="5" t="str">
        <x:v>maas_ttr_aw</x:v>
      </x:c>
      <x:c r="E727" s="6" t="n">
        <x:v>0.05161329277364428</x:v>
      </x:c>
      <x:c r="F727" s="6" t="n">
        <x:v>0.05201383938963743</x:v>
      </x:c>
      <x:c r="G727" s="7" t="n">
        <x:f>IF(OR(E727="",F727="",F727=0),"",ABS(E727-F727)/ABS(F727))</x:f>
        <x:v>0.007700770039155266</x:v>
      </x:c>
      <x:c r="H727" s="5" t="str">
        <x:v>TAALED</x:v>
      </x:c>
    </x:row>
    <x:row r="728">
      <x:c r="A728" s="5" t="str">
        <x:v>P9</x:v>
      </x:c>
      <x:c r="B728" s="5" t="str">
        <x:v>PXL_20230511_202957414_transcription.xlsx</x:v>
      </x:c>
      <x:c r="C728" s="5" t="str">
        <x:v>PXL_20230511_202957414_transcription_corrected.txt</x:v>
      </x:c>
      <x:c r="D728" s="5" t="str">
        <x:v>mattr50_aw</x:v>
      </x:c>
      <x:c r="E728" s="6" t="n">
        <x:v>0.7196354992076069</x:v>
      </x:c>
      <x:c r="F728" s="6" t="n">
        <x:v>0.7146771653543307</x:v>
      </x:c>
      <x:c r="G728" s="7" t="n">
        <x:f>IF(OR(E728="",F728="",F728=0),"",ABS(E728-F728)/ABS(F728))</x:f>
        <x:v>0.006937865225927522</x:v>
      </x:c>
      <x:c r="H728" s="5" t="str">
        <x:v>TAALED</x:v>
      </x:c>
    </x:row>
    <x:row r="729">
      <x:c r="A729" s="5" t="str">
        <x:v>P9</x:v>
      </x:c>
      <x:c r="B729" s="5" t="str">
        <x:v>PXL_20230511_202957414_transcription.xlsx</x:v>
      </x:c>
      <x:c r="C729" s="5" t="str">
        <x:v>PXL_20230511_202957414_transcription_corrected.txt</x:v>
      </x:c>
      <x:c r="D729" s="5" t="str">
        <x:v>msttr50_aw</x:v>
      </x:c>
      <x:c r="E729" s="6" t="n">
        <x:v>0.7146153846153847</x:v>
      </x:c>
      <x:c r="F729" s="6" t="n">
        <x:v>0.716923076923077</x:v>
      </x:c>
      <x:c r="G729" s="7" t="n">
        <x:f>IF(OR(E729="",F729="",F729=0),"",ABS(E729-F729)/ABS(F729))</x:f>
        <x:v>0.003218884120171724</x:v>
      </x:c>
      <x:c r="H729" s="5" t="str">
        <x:v>TAALED</x:v>
      </x:c>
    </x:row>
    <x:row r="730">
      <x:c r="A730" s="5" t="str">
        <x:v>P9</x:v>
      </x:c>
      <x:c r="B730" s="5" t="str">
        <x:v>PXL_20230511_202957414_transcription.xlsx</x:v>
      </x:c>
      <x:c r="C730" s="5" t="str">
        <x:v>PXL_20230511_202957414_transcription_corrected.txt</x:v>
      </x:c>
      <x:c r="D730" s="5" t="str">
        <x:v>hdd42_aw</x:v>
      </x:c>
      <x:c r="E730" s="6" t="n">
        <x:v>0.8169254742863764</x:v>
      </x:c>
      <x:c r="F730" s="6" t="n">
        <x:v>0.8153175314759781</x:v>
      </x:c>
      <x:c r="G730" s="7" t="n">
        <x:f>IF(OR(E730="",F730="",F730=0),"",ABS(E730-F730)/ABS(F730))</x:f>
        <x:v>0.001972167589095572</x:v>
      </x:c>
      <x:c r="H730" s="5" t="str">
        <x:v>TAALED</x:v>
      </x:c>
    </x:row>
    <x:row r="731">
      <x:c r="A731" s="5" t="str">
        <x:v>P9</x:v>
      </x:c>
      <x:c r="B731" s="5" t="str">
        <x:v>PXL_20230511_202957414_transcription.xlsx</x:v>
      </x:c>
      <x:c r="C731" s="5" t="str">
        <x:v>PXL_20230511_202957414_transcription_corrected.txt</x:v>
      </x:c>
      <x:c r="D731" s="5" t="str">
        <x:v>mtld_original_aw</x:v>
      </x:c>
      <x:c r="E731" s="6" t="n">
        <x:v>44.56556520802671</x:v>
      </x:c>
      <x:c r="F731" s="6" t="n">
        <x:v>44.82776497695852</x:v>
      </x:c>
      <x:c r="G731" s="7" t="n">
        <x:f>IF(OR(E731="",F731="",F731=0),"",ABS(E731-F731)/ABS(F731))</x:f>
        <x:v>0.005849048442780464</x:v>
      </x:c>
      <x:c r="H731" s="5" t="str">
        <x:v>TAALED</x:v>
      </x:c>
    </x:row>
    <x:row r="732">
      <x:c r="A732" s="5" t="str">
        <x:v>P9</x:v>
      </x:c>
      <x:c r="B732" s="5" t="str">
        <x:v>PXL_20230511_202957414_transcription.xlsx</x:v>
      </x:c>
      <x:c r="C732" s="5" t="str">
        <x:v>PXL_20230511_202957414_transcription_corrected.txt</x:v>
      </x:c>
      <x:c r="D732" s="5" t="str">
        <x:v>mtld_mean_factor_length_aw</x:v>
      </x:c>
      <x:c r="E732" s="6" t="n">
        <x:v>44.477222222222224</x:v>
      </x:c>
      <x:c r="F732" s="6" t="n">
        <x:v>44.20338983050848</x:v>
      </x:c>
      <x:c r="G732" s="7" t="n">
        <x:f>IF(OR(E732="",F732="",F732=0),"",ABS(E732-F732)/ABS(F732))</x:f>
        <x:v>0.006194827880027238</x:v>
      </x:c>
      <x:c r="H732" s="5" t="str">
        <x:v>TAALED</x:v>
      </x:c>
    </x:row>
    <x:row r="733">
      <x:c r="A733" s="5" t="str">
        <x:v>P9</x:v>
      </x:c>
      <x:c r="B733" s="5" t="str">
        <x:v>PXL_20230511_202957414_transcription.xlsx</x:v>
      </x:c>
      <x:c r="C733" s="5" t="str">
        <x:v>PXL_20230511_202957414_transcription_corrected.txt</x:v>
      </x:c>
      <x:c r="D733" s="5" t="str">
        <x:v>total_utterances</x:v>
      </x:c>
      <x:c r="E733" s="6" t="n">
        <x:v>81</x:v>
      </x:c>
      <x:c r="F733" s="6" t="n">
        <x:v>78</x:v>
      </x:c>
      <x:c r="G733" s="7" t="n">
        <x:f>IF(OR(E733="",F733="",F733=0),"",ABS(E733-F733)/ABS(F733))</x:f>
        <x:v>0.038461538461538464</x:v>
      </x:c>
      <x:c r="H733" s="5" t="str">
        <x:v>CLAN</x:v>
      </x:c>
    </x:row>
    <x:row r="734">
      <x:c r="A734" s="5" t="str">
        <x:v>P9</x:v>
      </x:c>
      <x:c r="B734" s="5" t="str">
        <x:v>PXL_20230511_202957414_transcription.xlsx</x:v>
      </x:c>
      <x:c r="C734" s="5" t="str">
        <x:v>PXL_20230511_202957414_transcription_corrected.txt</x:v>
      </x:c>
      <x:c r="D734" s="5" t="str">
        <x:v>total_words</x:v>
      </x:c>
      <x:c r="E734" s="6" t="n">
        <x:v>1274</x:v>
      </x:c>
      <x:c r="F734" s="6" t="n">
        <x:v>1293</x:v>
      </x:c>
      <x:c r="G734" s="7" t="n">
        <x:f>IF(OR(E734="",F734="",F734=0),"",ABS(E734-F734)/ABS(F734))</x:f>
        <x:v>0.014694508894044857</x:v>
      </x:c>
      <x:c r="H734" s="5" t="str">
        <x:v>CLAN</x:v>
      </x:c>
    </x:row>
    <x:row r="735">
      <x:c r="A735" s="5" t="str">
        <x:v>P9</x:v>
      </x:c>
      <x:c r="B735" s="5" t="str">
        <x:v>PXL_20230511_202957414_transcription.xlsx</x:v>
      </x:c>
      <x:c r="C735" s="5" t="str">
        <x:v>PXL_20230511_202957414_transcription_corrected.txt</x:v>
      </x:c>
      <x:c r="D735" s="5" t="str">
        <x:v>mlu_words</x:v>
      </x:c>
      <x:c r="E735" s="6" t="n">
        <x:v>15.728395061728396</x:v>
      </x:c>
      <x:c r="F735" s="6" t="n">
        <x:v>16.577</x:v>
      </x:c>
      <x:c r="G735" s="7" t="n">
        <x:f>IF(OR(E735="",F735="",F735=0),"",ABS(E735-F735)/ABS(F735))</x:f>
        <x:v>0.05119170768363431</x:v>
      </x:c>
      <x:c r="H735" s="5" t="str">
        <x:v>CLAN</x:v>
      </x:c>
    </x:row>
    <x:row r="736">
      <x:c r="A736" s="5" t="str">
        <x:v>P9</x:v>
      </x:c>
      <x:c r="B736" s="5" t="str">
        <x:v>PXL_20230511_202957414_transcription.xlsx</x:v>
      </x:c>
      <x:c r="C736" s="5" t="str">
        <x:v>PXL_20230511_202957414_transcription_corrected.txt</x:v>
      </x:c>
      <x:c r="D736" s="5" t="str">
        <x:v>mlu_words_sd</x:v>
      </x:c>
      <x:c r="E736" s="6" t="n">
        <x:v>8.451769258386829</x:v>
      </x:c>
      <x:c r="F736" s="6" t="n">
        <x:v>8.512</x:v>
      </x:c>
      <x:c r="G736" s="7" t="n">
        <x:f>IF(OR(E736="",F736="",F736=0),"",ABS(E736-F736)/ABS(F736))</x:f>
        <x:v>0.007075979982750416</x:v>
      </x:c>
      <x:c r="H736" s="5" t="str">
        <x:v>CLAN</x:v>
      </x:c>
    </x:row>
    <x:row r="737">
      <x:c r="A737" s="5" t="str">
        <x:v>P9</x:v>
      </x:c>
      <x:c r="B737" s="5" t="str">
        <x:v>PXL_20230511_203844811_transcription.xlsx</x:v>
      </x:c>
      <x:c r="C737" s="5" t="str">
        <x:v>PXL_20230511_203844811_transcription_corrected.txt</x:v>
      </x:c>
      <x:c r="D737" s="5" t="str">
        <x:v>basic_ntokens</x:v>
      </x:c>
      <x:c r="E737" s="6" t="n">
        <x:v>1406</x:v>
      </x:c>
      <x:c r="F737" s="6" t="n">
        <x:v>1420</x:v>
      </x:c>
      <x:c r="G737" s="7" t="n">
        <x:f>IF(OR(E737="",F737="",F737=0),"",ABS(E737-F737)/ABS(F737))</x:f>
        <x:v>0.009859154929577466</x:v>
      </x:c>
      <x:c r="H737" s="5" t="str">
        <x:v>TAALED</x:v>
      </x:c>
    </x:row>
    <x:row r="738">
      <x:c r="A738" s="5" t="str">
        <x:v>P9</x:v>
      </x:c>
      <x:c r="B738" s="5" t="str">
        <x:v>PXL_20230511_203844811_transcription.xlsx</x:v>
      </x:c>
      <x:c r="C738" s="5" t="str">
        <x:v>PXL_20230511_203844811_transcription_corrected.txt</x:v>
      </x:c>
      <x:c r="D738" s="5" t="str">
        <x:v>basic_ntypes</x:v>
      </x:c>
      <x:c r="E738" s="6" t="n">
        <x:v>433</x:v>
      </x:c>
      <x:c r="F738" s="6" t="n">
        <x:v>438</x:v>
      </x:c>
      <x:c r="G738" s="7" t="n">
        <x:f>IF(OR(E738="",F738="",F738=0),"",ABS(E738-F738)/ABS(F738))</x:f>
        <x:v>0.01141552511415525</x:v>
      </x:c>
      <x:c r="H738" s="5" t="str">
        <x:v>TAALED</x:v>
      </x:c>
    </x:row>
    <x:row r="739">
      <x:c r="A739" s="5" t="str">
        <x:v>P9</x:v>
      </x:c>
      <x:c r="B739" s="5" t="str">
        <x:v>PXL_20230511_203844811_transcription.xlsx</x:v>
      </x:c>
      <x:c r="C739" s="5" t="str">
        <x:v>PXL_20230511_203844811_transcription_corrected.txt</x:v>
      </x:c>
      <x:c r="D739" s="5" t="str">
        <x:v>basic_ncontent_tokens</x:v>
      </x:c>
      <x:c r="E739" s="6" t="n">
        <x:v>591</x:v>
      </x:c>
      <x:c r="F739" s="6" t="n">
        <x:v>609</x:v>
      </x:c>
      <x:c r="G739" s="7" t="n">
        <x:f>IF(OR(E739="",F739="",F739=0),"",ABS(E739-F739)/ABS(F739))</x:f>
        <x:v>0.029556650246305417</x:v>
      </x:c>
      <x:c r="H739" s="5" t="str">
        <x:v>TAALED</x:v>
      </x:c>
    </x:row>
    <x:row r="740">
      <x:c r="A740" s="5" t="str">
        <x:v>P9</x:v>
      </x:c>
      <x:c r="B740" s="5" t="str">
        <x:v>PXL_20230511_203844811_transcription.xlsx</x:v>
      </x:c>
      <x:c r="C740" s="5" t="str">
        <x:v>PXL_20230511_203844811_transcription_corrected.txt</x:v>
      </x:c>
      <x:c r="D740" s="5" t="str">
        <x:v>basic_ncontent_types</x:v>
      </x:c>
      <x:c r="E740" s="6" t="n">
        <x:v>310</x:v>
      </x:c>
      <x:c r="F740" s="6" t="n">
        <x:v>315</x:v>
      </x:c>
      <x:c r="G740" s="7" t="n">
        <x:f>IF(OR(E740="",F740="",F740=0),"",ABS(E740-F740)/ABS(F740))</x:f>
        <x:v>0.015873015873015872</x:v>
      </x:c>
      <x:c r="H740" s="5" t="str">
        <x:v>TAALED</x:v>
      </x:c>
    </x:row>
    <x:row r="741">
      <x:c r="A741" s="5" t="str">
        <x:v>P9</x:v>
      </x:c>
      <x:c r="B741" s="5" t="str">
        <x:v>PXL_20230511_203844811_transcription.xlsx</x:v>
      </x:c>
      <x:c r="C741" s="5" t="str">
        <x:v>PXL_20230511_203844811_transcription_corrected.txt</x:v>
      </x:c>
      <x:c r="D741" s="5" t="str">
        <x:v>basic_nfunction_tokens</x:v>
      </x:c>
      <x:c r="E741" s="6" t="n">
        <x:v>815</x:v>
      </x:c>
      <x:c r="F741" s="6" t="n">
        <x:v>811</x:v>
      </x:c>
      <x:c r="G741" s="7" t="n">
        <x:f>IF(OR(E741="",F741="",F741=0),"",ABS(E741-F741)/ABS(F741))</x:f>
        <x:v>0.004932182490752158</x:v>
      </x:c>
      <x:c r="H741" s="5" t="str">
        <x:v>TAALED</x:v>
      </x:c>
    </x:row>
    <x:row r="742">
      <x:c r="A742" s="5" t="str">
        <x:v>P9</x:v>
      </x:c>
      <x:c r="B742" s="5" t="str">
        <x:v>PXL_20230511_203844811_transcription.xlsx</x:v>
      </x:c>
      <x:c r="C742" s="5" t="str">
        <x:v>PXL_20230511_203844811_transcription_corrected.txt</x:v>
      </x:c>
      <x:c r="D742" s="5" t="str">
        <x:v>basic_nfunction_types</x:v>
      </x:c>
      <x:c r="E742" s="6" t="n">
        <x:v>123</x:v>
      </x:c>
      <x:c r="F742" s="6" t="n">
        <x:v>123</x:v>
      </x:c>
      <x:c r="G742" s="7" t="n">
        <x:f>IF(OR(E742="",F742="",F742=0),"",ABS(E742-F742)/ABS(F742))</x:f>
        <x:v>0</x:v>
      </x:c>
      <x:c r="H742" s="5" t="str">
        <x:v>TAALED</x:v>
      </x:c>
    </x:row>
    <x:row r="743">
      <x:c r="A743" s="5" t="str">
        <x:v>P9</x:v>
      </x:c>
      <x:c r="B743" s="5" t="str">
        <x:v>PXL_20230511_203844811_transcription.xlsx</x:v>
      </x:c>
      <x:c r="C743" s="5" t="str">
        <x:v>PXL_20230511_203844811_transcription_corrected.txt</x:v>
      </x:c>
      <x:c r="D743" s="5" t="str">
        <x:v>lexical_density_tokens</x:v>
      </x:c>
      <x:c r="E743" s="6" t="n">
        <x:v>0.42034139402560455</x:v>
      </x:c>
      <x:c r="F743" s="6" t="n">
        <x:v>0.4288732394366197</x:v>
      </x:c>
      <x:c r="G743" s="7" t="n">
        <x:f>IF(OR(E743="",F743="",F743=0),"",ABS(E743-F743)/ABS(F743))</x:f>
        <x:v>0.01989362969399263</x:v>
      </x:c>
      <x:c r="H743" s="5" t="str">
        <x:v>TAALED</x:v>
      </x:c>
    </x:row>
    <x:row r="744">
      <x:c r="A744" s="5" t="str">
        <x:v>P9</x:v>
      </x:c>
      <x:c r="B744" s="5" t="str">
        <x:v>PXL_20230511_203844811_transcription.xlsx</x:v>
      </x:c>
      <x:c r="C744" s="5" t="str">
        <x:v>PXL_20230511_203844811_transcription_corrected.txt</x:v>
      </x:c>
      <x:c r="D744" s="5" t="str">
        <x:v>lexical_density_types</x:v>
      </x:c>
      <x:c r="E744" s="6" t="n">
        <x:v>0.7159353348729792</x:v>
      </x:c>
      <x:c r="F744" s="6" t="n">
        <x:v>0.7191780821917808</x:v>
      </x:c>
      <x:c r="G744" s="7" t="n">
        <x:f>IF(OR(E744="",F744="",F744=0),"",ABS(E744-F744)/ABS(F744))</x:f>
        <x:v>0.004508962938524111</x:v>
      </x:c>
      <x:c r="H744" s="5" t="str">
        <x:v>TAALED</x:v>
      </x:c>
    </x:row>
    <x:row r="745">
      <x:c r="A745" s="5" t="str">
        <x:v>P9</x:v>
      </x:c>
      <x:c r="B745" s="5" t="str">
        <x:v>PXL_20230511_203844811_transcription.xlsx</x:v>
      </x:c>
      <x:c r="C745" s="5" t="str">
        <x:v>PXL_20230511_203844811_transcription_corrected.txt</x:v>
      </x:c>
      <x:c r="D745" s="5" t="str">
        <x:v>simple_ttr_aw</x:v>
      </x:c>
      <x:c r="E745" s="6" t="n">
        <x:v>0.3079658605974395</x:v>
      </x:c>
      <x:c r="F745" s="6" t="n">
        <x:v>0.3084507042253521</x:v>
      </x:c>
      <x:c r="G745" s="7" t="n">
        <x:f>IF(OR(E745="",F745="",F745=0),"",ABS(E745-F745)/ABS(F745))</x:f>
        <x:v>0.001571867469488234</x:v>
      </x:c>
      <x:c r="H745" s="5" t="str">
        <x:v>TAALED</x:v>
      </x:c>
    </x:row>
    <x:row r="746">
      <x:c r="A746" s="5" t="str">
        <x:v>P9</x:v>
      </x:c>
      <x:c r="B746" s="5" t="str">
        <x:v>PXL_20230511_203844811_transcription.xlsx</x:v>
      </x:c>
      <x:c r="C746" s="5" t="str">
        <x:v>PXL_20230511_203844811_transcription_corrected.txt</x:v>
      </x:c>
      <x:c r="D746" s="5" t="str">
        <x:v>root_ttr_aw</x:v>
      </x:c>
      <x:c r="E746" s="6" t="n">
        <x:v>11.547693173906696</x:v>
      </x:c>
      <x:c r="F746" s="6" t="n">
        <x:v>11.623313144310627</x:v>
      </x:c>
      <x:c r="G746" s="7" t="n">
        <x:f>IF(OR(E746="",F746="",F746=0),"",ABS(E746-F746)/ABS(F746))</x:f>
        <x:v>0.006505887733132744</x:v>
      </x:c>
      <x:c r="H746" s="5" t="str">
        <x:v>TAALED</x:v>
      </x:c>
    </x:row>
    <x:row r="747">
      <x:c r="A747" s="5" t="str">
        <x:v>P9</x:v>
      </x:c>
      <x:c r="B747" s="5" t="str">
        <x:v>PXL_20230511_203844811_transcription.xlsx</x:v>
      </x:c>
      <x:c r="C747" s="5" t="str">
        <x:v>PXL_20230511_203844811_transcription_corrected.txt</x:v>
      </x:c>
      <x:c r="D747" s="5" t="str">
        <x:v>log_ttr_aw</x:v>
      </x:c>
      <x:c r="E747" s="6" t="n">
        <x:v>0.8375159436196697</x:v>
      </x:c>
      <x:c r="F747" s="6" t="n">
        <x:v>0.8379544705073833</x:v>
      </x:c>
      <x:c r="G747" s="7" t="n">
        <x:f>IF(OR(E747="",F747="",F747=0),"",ABS(E747-F747)/ABS(F747))</x:f>
        <x:v>0.000523330208439582</x:v>
      </x:c>
      <x:c r="H747" s="5" t="str">
        <x:v>TAALED</x:v>
      </x:c>
    </x:row>
    <x:row r="748">
      <x:c r="A748" s="5" t="str">
        <x:v>P9</x:v>
      </x:c>
      <x:c r="B748" s="5" t="str">
        <x:v>PXL_20230511_203844811_transcription.xlsx</x:v>
      </x:c>
      <x:c r="C748" s="5" t="str">
        <x:v>PXL_20230511_203844811_transcription_corrected.txt</x:v>
      </x:c>
      <x:c r="D748" s="5" t="str">
        <x:v>maas_ttr_aw</x:v>
      </x:c>
      <x:c r="E748" s="6" t="n">
        <x:v>0.051615252241721234</x:v>
      </x:c>
      <x:c r="F748" s="6" t="n">
        <x:v>0.05140568113997552</x:v>
      </x:c>
      <x:c r="G748" s="7" t="n">
        <x:f>IF(OR(E748="",F748="",F748=0),"",ABS(E748-F748)/ABS(F748))</x:f>
        <x:v>0.004076808187310297</x:v>
      </x:c>
      <x:c r="H748" s="5" t="str">
        <x:v>TAALED</x:v>
      </x:c>
    </x:row>
    <x:row r="749">
      <x:c r="A749" s="5" t="str">
        <x:v>P9</x:v>
      </x:c>
      <x:c r="B749" s="5" t="str">
        <x:v>PXL_20230511_203844811_transcription.xlsx</x:v>
      </x:c>
      <x:c r="C749" s="5" t="str">
        <x:v>PXL_20230511_203844811_transcription_corrected.txt</x:v>
      </x:c>
      <x:c r="D749" s="5" t="str">
        <x:v>mattr50_aw</x:v>
      </x:c>
      <x:c r="E749" s="6" t="n">
        <x:v>0.7342667649226234</x:v>
      </x:c>
      <x:c r="F749" s="6" t="n">
        <x:v>0.7368344274252371</x:v>
      </x:c>
      <x:c r="G749" s="7" t="n">
        <x:f>IF(OR(E749="",F749="",F749=0),"",ABS(E749-F749)/ABS(F749))</x:f>
        <x:v>0.003484721135501193</x:v>
      </x:c>
      <x:c r="H749" s="5" t="str">
        <x:v>TAALED</x:v>
      </x:c>
    </x:row>
    <x:row r="750">
      <x:c r="A750" s="5" t="str">
        <x:v>P9</x:v>
      </x:c>
      <x:c r="B750" s="5" t="str">
        <x:v>PXL_20230511_203844811_transcription.xlsx</x:v>
      </x:c>
      <x:c r="C750" s="5" t="str">
        <x:v>PXL_20230511_203844811_transcription_corrected.txt</x:v>
      </x:c>
      <x:c r="D750" s="5" t="str">
        <x:v>msttr50_aw</x:v>
      </x:c>
      <x:c r="E750" s="6" t="n">
        <x:v>0.7378571428571429</x:v>
      </x:c>
      <x:c r="F750" s="6" t="n">
        <x:v>0.7435714285714285</x:v>
      </x:c>
      <x:c r="G750" s="7" t="n">
        <x:f>IF(OR(E750="",F750="",F750=0),"",ABS(E750-F750)/ABS(F750))</x:f>
        <x:v>0.007684918347742499</x:v>
      </x:c>
      <x:c r="H750" s="5" t="str">
        <x:v>TAALED</x:v>
      </x:c>
    </x:row>
    <x:row r="751">
      <x:c r="A751" s="5" t="str">
        <x:v>P9</x:v>
      </x:c>
      <x:c r="B751" s="5" t="str">
        <x:v>PXL_20230511_203844811_transcription.xlsx</x:v>
      </x:c>
      <x:c r="C751" s="5" t="str">
        <x:v>PXL_20230511_203844811_transcription_corrected.txt</x:v>
      </x:c>
      <x:c r="D751" s="5" t="str">
        <x:v>hdd42_aw</x:v>
      </x:c>
      <x:c r="E751" s="6" t="n">
        <x:v>0.8295320563166833</x:v>
      </x:c>
      <x:c r="F751" s="6" t="n">
        <x:v>0.8304213961129528</x:v>
      </x:c>
      <x:c r="G751" s="7" t="n">
        <x:f>IF(OR(E751="",F751="",F751=0),"",ABS(E751-F751)/ABS(F751))</x:f>
        <x:v>0.0010709500025317604</x:v>
      </x:c>
      <x:c r="H751" s="5" t="str">
        <x:v>TAALED</x:v>
      </x:c>
    </x:row>
    <x:row r="752">
      <x:c r="A752" s="5" t="str">
        <x:v>P9</x:v>
      </x:c>
      <x:c r="B752" s="5" t="str">
        <x:v>PXL_20230511_203844811_transcription.xlsx</x:v>
      </x:c>
      <x:c r="C752" s="5" t="str">
        <x:v>PXL_20230511_203844811_transcription_corrected.txt</x:v>
      </x:c>
      <x:c r="D752" s="5" t="str">
        <x:v>mtld_original_aw</x:v>
      </x:c>
      <x:c r="E752" s="6" t="n">
        <x:v>46.84199398907316</x:v>
      </x:c>
      <x:c r="F752" s="6" t="n">
        <x:v>48.80551780469888</x:v>
      </x:c>
      <x:c r="G752" s="7" t="n">
        <x:f>IF(OR(E752="",F752="",F752=0),"",ABS(E752-F752)/ABS(F752))</x:f>
        <x:v>0.04023159478571656</x:v>
      </x:c>
      <x:c r="H752" s="5" t="str">
        <x:v>TAALED</x:v>
      </x:c>
    </x:row>
    <x:row r="753">
      <x:c r="A753" s="5" t="str">
        <x:v>P9</x:v>
      </x:c>
      <x:c r="B753" s="5" t="str">
        <x:v>PXL_20230511_203844811_transcription.xlsx</x:v>
      </x:c>
      <x:c r="C753" s="5" t="str">
        <x:v>PXL_20230511_203844811_transcription_corrected.txt</x:v>
      </x:c>
      <x:c r="D753" s="5" t="str">
        <x:v>mtld_mean_factor_length_aw</x:v>
      </x:c>
      <x:c r="E753" s="6" t="n">
        <x:v>47.634915656925635</x:v>
      </x:c>
      <x:c r="F753" s="6" t="n">
        <x:v>49.5223533995714</x:v>
      </x:c>
      <x:c r="G753" s="7" t="n">
        <x:f>IF(OR(E753="",F753="",F753=0),"",ABS(E753-F753)/ABS(F753))</x:f>
        <x:v>0.03811284426281124</x:v>
      </x:c>
      <x:c r="H753" s="5" t="str">
        <x:v>TAALED</x:v>
      </x:c>
    </x:row>
    <x:row r="754">
      <x:c r="A754" s="5" t="str">
        <x:v>P9</x:v>
      </x:c>
      <x:c r="B754" s="5" t="str">
        <x:v>PXL_20230511_203844811_transcription.xlsx</x:v>
      </x:c>
      <x:c r="C754" s="5" t="str">
        <x:v>PXL_20230511_203844811_transcription_corrected.txt</x:v>
      </x:c>
      <x:c r="D754" s="5" t="str">
        <x:v>total_utterances</x:v>
      </x:c>
      <x:c r="E754" s="6" t="n">
        <x:v>74</x:v>
      </x:c>
      <x:c r="F754" s="6" t="n">
        <x:v>91</x:v>
      </x:c>
      <x:c r="G754" s="7" t="n">
        <x:f>IF(OR(E754="",F754="",F754=0),"",ABS(E754-F754)/ABS(F754))</x:f>
        <x:v>0.18681318681318682</x:v>
      </x:c>
      <x:c r="H754" s="5" t="str">
        <x:v>CLAN</x:v>
      </x:c>
    </x:row>
    <x:row r="755">
      <x:c r="A755" s="5" t="str">
        <x:v>P9</x:v>
      </x:c>
      <x:c r="B755" s="5" t="str">
        <x:v>PXL_20230511_203844811_transcription.xlsx</x:v>
      </x:c>
      <x:c r="C755" s="5" t="str">
        <x:v>PXL_20230511_203844811_transcription_corrected.txt</x:v>
      </x:c>
      <x:c r="D755" s="5" t="str">
        <x:v>total_words</x:v>
      </x:c>
      <x:c r="E755" s="6" t="n">
        <x:v>1402</x:v>
      </x:c>
      <x:c r="F755" s="6" t="n">
        <x:v>1410</x:v>
      </x:c>
      <x:c r="G755" s="7" t="n">
        <x:f>IF(OR(E755="",F755="",F755=0),"",ABS(E755-F755)/ABS(F755))</x:f>
        <x:v>0.005673758865248227</x:v>
      </x:c>
      <x:c r="H755" s="5" t="str">
        <x:v>CLAN</x:v>
      </x:c>
    </x:row>
    <x:row r="756">
      <x:c r="A756" s="5" t="str">
        <x:v>P9</x:v>
      </x:c>
      <x:c r="B756" s="5" t="str">
        <x:v>PXL_20230511_203844811_transcription.xlsx</x:v>
      </x:c>
      <x:c r="C756" s="5" t="str">
        <x:v>PXL_20230511_203844811_transcription_corrected.txt</x:v>
      </x:c>
      <x:c r="D756" s="5" t="str">
        <x:v>mlu_words</x:v>
      </x:c>
      <x:c r="E756" s="6" t="n">
        <x:v>18.945945945945947</x:v>
      </x:c>
      <x:c r="F756" s="6" t="n">
        <x:v>15.495</x:v>
      </x:c>
      <x:c r="G756" s="7" t="n">
        <x:f>IF(OR(E756="",F756="",F756=0),"",ABS(E756-F756)/ABS(F756))</x:f>
        <x:v>0.22271351700199732</x:v>
      </x:c>
      <x:c r="H756" s="5" t="str">
        <x:v>CLAN</x:v>
      </x:c>
    </x:row>
    <x:row r="757">
      <x:c r="A757" s="5" t="str">
        <x:v>P9</x:v>
      </x:c>
      <x:c r="B757" s="5" t="str">
        <x:v>PXL_20230511_203844811_transcription.xlsx</x:v>
      </x:c>
      <x:c r="C757" s="5" t="str">
        <x:v>PXL_20230511_203844811_transcription_corrected.txt</x:v>
      </x:c>
      <x:c r="D757" s="5" t="str">
        <x:v>mlu_words_sd</x:v>
      </x:c>
      <x:c r="E757" s="6" t="n">
        <x:v>10.539362373517736</x:v>
      </x:c>
      <x:c r="F757" s="6" t="n">
        <x:v>6.981</x:v>
      </x:c>
      <x:c r="G757" s="7" t="n">
        <x:f>IF(OR(E757="",F757="",F757=0),"",ABS(E757-F757)/ABS(F757))</x:f>
        <x:v>0.5097210103878723</x:v>
      </x:c>
      <x:c r="H757" s="5" t="str">
        <x:v>CLAN</x:v>
      </x:c>
    </x:row>
    <x:row r="758">
      <x:c r="A758" s="5" t="str">
        <x:v>P9</x:v>
      </x:c>
      <x:c r="B758" s="5" t="str">
        <x:v>PXL_20230511_204818926_transcription.xlsx</x:v>
      </x:c>
      <x:c r="C758" s="5" t="str">
        <x:v>PXL_20230511_204818926_transcription_corrected.txt</x:v>
      </x:c>
      <x:c r="D758" s="5" t="str">
        <x:v>basic_ntokens</x:v>
      </x:c>
      <x:c r="E758" s="6" t="n">
        <x:v>1293</x:v>
      </x:c>
      <x:c r="F758" s="6" t="n">
        <x:v>1303</x:v>
      </x:c>
      <x:c r="G758" s="7" t="n">
        <x:f>IF(OR(E758="",F758="",F758=0),"",ABS(E758-F758)/ABS(F758))</x:f>
        <x:v>0.007674597083653108</x:v>
      </x:c>
      <x:c r="H758" s="5" t="str">
        <x:v>TAALED</x:v>
      </x:c>
    </x:row>
    <x:row r="759">
      <x:c r="A759" s="5" t="str">
        <x:v>P9</x:v>
      </x:c>
      <x:c r="B759" s="5" t="str">
        <x:v>PXL_20230511_204818926_transcription.xlsx</x:v>
      </x:c>
      <x:c r="C759" s="5" t="str">
        <x:v>PXL_20230511_204818926_transcription_corrected.txt</x:v>
      </x:c>
      <x:c r="D759" s="5" t="str">
        <x:v>basic_ntypes</x:v>
      </x:c>
      <x:c r="E759" s="6" t="n">
        <x:v>404</x:v>
      </x:c>
      <x:c r="F759" s="6" t="n">
        <x:v>407</x:v>
      </x:c>
      <x:c r="G759" s="7" t="n">
        <x:f>IF(OR(E759="",F759="",F759=0),"",ABS(E759-F759)/ABS(F759))</x:f>
        <x:v>0.007371007371007371</x:v>
      </x:c>
      <x:c r="H759" s="5" t="str">
        <x:v>TAALED</x:v>
      </x:c>
    </x:row>
    <x:row r="760">
      <x:c r="A760" s="5" t="str">
        <x:v>P9</x:v>
      </x:c>
      <x:c r="B760" s="5" t="str">
        <x:v>PXL_20230511_204818926_transcription.xlsx</x:v>
      </x:c>
      <x:c r="C760" s="5" t="str">
        <x:v>PXL_20230511_204818926_transcription_corrected.txt</x:v>
      </x:c>
      <x:c r="D760" s="5" t="str">
        <x:v>basic_ncontent_tokens</x:v>
      </x:c>
      <x:c r="E760" s="6" t="n">
        <x:v>530</x:v>
      </x:c>
      <x:c r="F760" s="6" t="n">
        <x:v>540</x:v>
      </x:c>
      <x:c r="G760" s="7" t="n">
        <x:f>IF(OR(E760="",F760="",F760=0),"",ABS(E760-F760)/ABS(F760))</x:f>
        <x:v>0.018518518518518517</x:v>
      </x:c>
      <x:c r="H760" s="5" t="str">
        <x:v>TAALED</x:v>
      </x:c>
    </x:row>
    <x:row r="761">
      <x:c r="A761" s="5" t="str">
        <x:v>P9</x:v>
      </x:c>
      <x:c r="B761" s="5" t="str">
        <x:v>PXL_20230511_204818926_transcription.xlsx</x:v>
      </x:c>
      <x:c r="C761" s="5" t="str">
        <x:v>PXL_20230511_204818926_transcription_corrected.txt</x:v>
      </x:c>
      <x:c r="D761" s="5" t="str">
        <x:v>basic_ncontent_types</x:v>
      </x:c>
      <x:c r="E761" s="6" t="n">
        <x:v>282</x:v>
      </x:c>
      <x:c r="F761" s="6" t="n">
        <x:v>282</x:v>
      </x:c>
      <x:c r="G761" s="7" t="n">
        <x:f>IF(OR(E761="",F761="",F761=0),"",ABS(E761-F761)/ABS(F761))</x:f>
        <x:v>0</x:v>
      </x:c>
      <x:c r="H761" s="5" t="str">
        <x:v>TAALED</x:v>
      </x:c>
    </x:row>
    <x:row r="762">
      <x:c r="A762" s="5" t="str">
        <x:v>P9</x:v>
      </x:c>
      <x:c r="B762" s="5" t="str">
        <x:v>PXL_20230511_204818926_transcription.xlsx</x:v>
      </x:c>
      <x:c r="C762" s="5" t="str">
        <x:v>PXL_20230511_204818926_transcription_corrected.txt</x:v>
      </x:c>
      <x:c r="D762" s="5" t="str">
        <x:v>basic_nfunction_tokens</x:v>
      </x:c>
      <x:c r="E762" s="6" t="n">
        <x:v>763</x:v>
      </x:c>
      <x:c r="F762" s="6" t="n">
        <x:v>763</x:v>
      </x:c>
      <x:c r="G762" s="7" t="n">
        <x:f>IF(OR(E762="",F762="",F762=0),"",ABS(E762-F762)/ABS(F762))</x:f>
        <x:v>0</x:v>
      </x:c>
      <x:c r="H762" s="5" t="str">
        <x:v>TAALED</x:v>
      </x:c>
    </x:row>
    <x:row r="763">
      <x:c r="A763" s="5" t="str">
        <x:v>P9</x:v>
      </x:c>
      <x:c r="B763" s="5" t="str">
        <x:v>PXL_20230511_204818926_transcription.xlsx</x:v>
      </x:c>
      <x:c r="C763" s="5" t="str">
        <x:v>PXL_20230511_204818926_transcription_corrected.txt</x:v>
      </x:c>
      <x:c r="D763" s="5" t="str">
        <x:v>basic_nfunction_types</x:v>
      </x:c>
      <x:c r="E763" s="6" t="n">
        <x:v>122</x:v>
      </x:c>
      <x:c r="F763" s="6" t="n">
        <x:v>125</x:v>
      </x:c>
      <x:c r="G763" s="7" t="n">
        <x:f>IF(OR(E763="",F763="",F763=0),"",ABS(E763-F763)/ABS(F763))</x:f>
        <x:v>0.024</x:v>
      </x:c>
      <x:c r="H763" s="5" t="str">
        <x:v>TAALED</x:v>
      </x:c>
    </x:row>
    <x:row r="764">
      <x:c r="A764" s="5" t="str">
        <x:v>P9</x:v>
      </x:c>
      <x:c r="B764" s="5" t="str">
        <x:v>PXL_20230511_204818926_transcription.xlsx</x:v>
      </x:c>
      <x:c r="C764" s="5" t="str">
        <x:v>PXL_20230511_204818926_transcription_corrected.txt</x:v>
      </x:c>
      <x:c r="D764" s="5" t="str">
        <x:v>lexical_density_tokens</x:v>
      </x:c>
      <x:c r="E764" s="6" t="n">
        <x:v>0.4098994586233565</x:v>
      </x:c>
      <x:c r="F764" s="6" t="n">
        <x:v>0.41442824251726784</x:v>
      </x:c>
      <x:c r="G764" s="7" t="n">
        <x:f>IF(OR(E764="",F764="",F764=0),"",ABS(E764-F764)/ABS(F764))</x:f>
        <x:v>0.01092778780327119</x:v>
      </x:c>
      <x:c r="H764" s="5" t="str">
        <x:v>TAALED</x:v>
      </x:c>
    </x:row>
    <x:row r="765">
      <x:c r="A765" s="5" t="str">
        <x:v>P9</x:v>
      </x:c>
      <x:c r="B765" s="5" t="str">
        <x:v>PXL_20230511_204818926_transcription.xlsx</x:v>
      </x:c>
      <x:c r="C765" s="5" t="str">
        <x:v>PXL_20230511_204818926_transcription_corrected.txt</x:v>
      </x:c>
      <x:c r="D765" s="5" t="str">
        <x:v>lexical_density_types</x:v>
      </x:c>
      <x:c r="E765" s="6" t="n">
        <x:v>0.698019801980198</x:v>
      </x:c>
      <x:c r="F765" s="6" t="n">
        <x:v>0.6928746928746928</x:v>
      </x:c>
      <x:c r="G765" s="7" t="n">
        <x:f>IF(OR(E765="",F765="",F765=0),"",ABS(E765-F765)/ABS(F765))</x:f>
        <x:v>0.00742574257425742</x:v>
      </x:c>
      <x:c r="H765" s="5" t="str">
        <x:v>TAALED</x:v>
      </x:c>
    </x:row>
    <x:row r="766">
      <x:c r="A766" s="5" t="str">
        <x:v>P9</x:v>
      </x:c>
      <x:c r="B766" s="5" t="str">
        <x:v>PXL_20230511_204818926_transcription.xlsx</x:v>
      </x:c>
      <x:c r="C766" s="5" t="str">
        <x:v>PXL_20230511_204818926_transcription_corrected.txt</x:v>
      </x:c>
      <x:c r="D766" s="5" t="str">
        <x:v>simple_ttr_aw</x:v>
      </x:c>
      <x:c r="E766" s="6" t="n">
        <x:v>0.31245166279969067</x:v>
      </x:c>
      <x:c r="F766" s="6" t="n">
        <x:v>0.3123561013046815</x:v>
      </x:c>
      <x:c r="G766" s="7" t="n">
        <x:f>IF(OR(E766="",F766="",F766=0),"",ABS(E766-F766)/ABS(F766))</x:f>
        <x:v>0.0003059376609261524</x:v>
      </x:c>
      <x:c r="H766" s="5" t="str">
        <x:v>TAALED</x:v>
      </x:c>
    </x:row>
    <x:row r="767">
      <x:c r="A767" s="5" t="str">
        <x:v>P9</x:v>
      </x:c>
      <x:c r="B767" s="5" t="str">
        <x:v>PXL_20230511_204818926_transcription.xlsx</x:v>
      </x:c>
      <x:c r="C767" s="5" t="str">
        <x:v>PXL_20230511_204818926_transcription_corrected.txt</x:v>
      </x:c>
      <x:c r="D767" s="5" t="str">
        <x:v>root_ttr_aw</x:v>
      </x:c>
      <x:c r="E767" s="6" t="n">
        <x:v>11.235233498734017</x:v>
      </x:c>
      <x:c r="F767" s="6" t="n">
        <x:v>11.275146705520305</x:v>
      </x:c>
      <x:c r="G767" s="7" t="n">
        <x:f>IF(OR(E767="",F767="",F767=0),"",ABS(E767-F767)/ABS(F767))</x:f>
        <x:v>0.0035399279343076287</x:v>
      </x:c>
      <x:c r="H767" s="5" t="str">
        <x:v>TAALED</x:v>
      </x:c>
    </x:row>
    <x:row r="768">
      <x:c r="A768" s="5" t="str">
        <x:v>P9</x:v>
      </x:c>
      <x:c r="B768" s="5" t="str">
        <x:v>PXL_20230511_204818926_transcription.xlsx</x:v>
      </x:c>
      <x:c r="C768" s="5" t="str">
        <x:v>PXL_20230511_204818926_transcription_corrected.txt</x:v>
      </x:c>
      <x:c r="D768" s="5" t="str">
        <x:v>log_ttr_aw</x:v>
      </x:c>
      <x:c r="E768" s="6" t="n">
        <x:v>0.8376342077134745</x:v>
      </x:c>
      <x:c r="F768" s="6" t="n">
        <x:v>0.8377659633545148</x:v>
      </x:c>
      <x:c r="G768" s="7" t="n">
        <x:f>IF(OR(E768="",F768="",F768=0),"",ABS(E768-F768)/ABS(F768))</x:f>
        <x:v>0.00015727022438667988</x:v>
      </x:c>
      <x:c r="H768" s="5" t="str">
        <x:v>TAALED</x:v>
      </x:c>
    </x:row>
    <x:row r="769">
      <x:c r="A769" s="5" t="str">
        <x:v>P9</x:v>
      </x:c>
      <x:c r="B769" s="5" t="str">
        <x:v>PXL_20230511_204818926_transcription.xlsx</x:v>
      </x:c>
      <x:c r="C769" s="5" t="str">
        <x:v>PXL_20230511_204818926_transcription_corrected.txt</x:v>
      </x:c>
      <x:c r="D769" s="5" t="str">
        <x:v>maas_ttr_aw</x:v>
      </x:c>
      <x:c r="E769" s="6" t="n">
        <x:v>0.05218082956019095</x:v>
      </x:c>
      <x:c r="F769" s="6" t="n">
        <x:v>0.05208248205879204</x:v>
      </x:c>
      <x:c r="G769" s="7" t="n">
        <x:f>IF(OR(E769="",F769="",F769=0),"",ABS(E769-F769)/ABS(F769))</x:f>
        <x:v>0.0018883028901712088</x:v>
      </x:c>
      <x:c r="H769" s="5" t="str">
        <x:v>TAALED</x:v>
      </x:c>
    </x:row>
    <x:row r="770">
      <x:c r="A770" s="5" t="str">
        <x:v>P9</x:v>
      </x:c>
      <x:c r="B770" s="5" t="str">
        <x:v>PXL_20230511_204818926_transcription.xlsx</x:v>
      </x:c>
      <x:c r="C770" s="5" t="str">
        <x:v>PXL_20230511_204818926_transcription_corrected.txt</x:v>
      </x:c>
      <x:c r="D770" s="5" t="str">
        <x:v>mattr50_aw</x:v>
      </x:c>
      <x:c r="E770" s="6" t="n">
        <x:v>0.7172186495176849</x:v>
      </x:c>
      <x:c r="F770" s="6" t="n">
        <x:v>0.7225677830940989</x:v>
      </x:c>
      <x:c r="G770" s="7" t="n">
        <x:f>IF(OR(E770="",F770="",F770=0),"",ABS(E770-F770)/ABS(F770))</x:f>
        <x:v>0.007402950562656582</x:v>
      </x:c>
      <x:c r="H770" s="5" t="str">
        <x:v>TAALED</x:v>
      </x:c>
    </x:row>
    <x:row r="771">
      <x:c r="A771" s="5" t="str">
        <x:v>P9</x:v>
      </x:c>
      <x:c r="B771" s="5" t="str">
        <x:v>PXL_20230511_204818926_transcription.xlsx</x:v>
      </x:c>
      <x:c r="C771" s="5" t="str">
        <x:v>PXL_20230511_204818926_transcription_corrected.txt</x:v>
      </x:c>
      <x:c r="D771" s="5" t="str">
        <x:v>msttr50_aw</x:v>
      </x:c>
      <x:c r="E771" s="6" t="n">
        <x:v>0.7152000000000001</x:v>
      </x:c>
      <x:c r="F771" s="6" t="n">
        <x:v>0.716923076923077</x:v>
      </x:c>
      <x:c r="G771" s="7" t="n">
        <x:f>IF(OR(E771="",F771="",F771=0),"",ABS(E771-F771)/ABS(F771))</x:f>
        <x:v>0.0024034334763948706</x:v>
      </x:c>
      <x:c r="H771" s="5" t="str">
        <x:v>TAALED</x:v>
      </x:c>
    </x:row>
    <x:row r="772">
      <x:c r="A772" s="5" t="str">
        <x:v>P9</x:v>
      </x:c>
      <x:c r="B772" s="5" t="str">
        <x:v>PXL_20230511_204818926_transcription.xlsx</x:v>
      </x:c>
      <x:c r="C772" s="5" t="str">
        <x:v>PXL_20230511_204818926_transcription_corrected.txt</x:v>
      </x:c>
      <x:c r="D772" s="5" t="str">
        <x:v>hdd42_aw</x:v>
      </x:c>
      <x:c r="E772" s="6" t="n">
        <x:v>0.8175987043118702</x:v>
      </x:c>
      <x:c r="F772" s="6" t="n">
        <x:v>0.8187430012696405</x:v>
      </x:c>
      <x:c r="G772" s="7" t="n">
        <x:f>IF(OR(E772="",F772="",F772=0),"",ABS(E772-F772)/ABS(F772))</x:f>
        <x:v>0.0013976265519165516</x:v>
      </x:c>
      <x:c r="H772" s="5" t="str">
        <x:v>TAALED</x:v>
      </x:c>
    </x:row>
    <x:row r="773">
      <x:c r="A773" s="5" t="str">
        <x:v>P9</x:v>
      </x:c>
      <x:c r="B773" s="5" t="str">
        <x:v>PXL_20230511_204818926_transcription.xlsx</x:v>
      </x:c>
      <x:c r="C773" s="5" t="str">
        <x:v>PXL_20230511_204818926_transcription_corrected.txt</x:v>
      </x:c>
      <x:c r="D773" s="5" t="str">
        <x:v>mtld_original_aw</x:v>
      </x:c>
      <x:c r="E773" s="6" t="n">
        <x:v>44.59717414020912</x:v>
      </x:c>
      <x:c r="F773" s="6" t="n">
        <x:v>44.68450770772699</x:v>
      </x:c>
      <x:c r="G773" s="7" t="n">
        <x:f>IF(OR(E773="",F773="",F773=0),"",ABS(E773-F773)/ABS(F773))</x:f>
        <x:v>0.001954448465430261</x:v>
      </x:c>
      <x:c r="H773" s="5" t="str">
        <x:v>TAALED</x:v>
      </x:c>
    </x:row>
    <x:row r="774">
      <x:c r="A774" s="5" t="str">
        <x:v>P9</x:v>
      </x:c>
      <x:c r="B774" s="5" t="str">
        <x:v>PXL_20230511_204818926_transcription.xlsx</x:v>
      </x:c>
      <x:c r="C774" s="5" t="str">
        <x:v>PXL_20230511_204818926_transcription_corrected.txt</x:v>
      </x:c>
      <x:c r="D774" s="5" t="str">
        <x:v>mtld_mean_factor_length_aw</x:v>
      </x:c>
      <x:c r="E774" s="6" t="n">
        <x:v>44.73084745762712</x:v>
      </x:c>
      <x:c r="F774" s="6" t="n">
        <x:v>44.692278719397365</x:v>
      </x:c>
      <x:c r="G774" s="7" t="n">
        <x:f>IF(OR(E774="",F774="",F774=0),"",ABS(E774-F774)/ABS(F774))</x:f>
        <x:v>0.0008629843752633836</x:v>
      </x:c>
      <x:c r="H774" s="5" t="str">
        <x:v>TAALED</x:v>
      </x:c>
    </x:row>
    <x:row r="775">
      <x:c r="A775" s="5" t="str">
        <x:v>P9</x:v>
      </x:c>
      <x:c r="B775" s="5" t="str">
        <x:v>PXL_20230511_204818926_transcription.xlsx</x:v>
      </x:c>
      <x:c r="C775" s="5" t="str">
        <x:v>PXL_20230511_204818926_transcription_corrected.txt</x:v>
      </x:c>
      <x:c r="D775" s="5" t="str">
        <x:v>total_utterances</x:v>
      </x:c>
      <x:c r="E775" s="6" t="n">
        <x:v>99</x:v>
      </x:c>
      <x:c r="F775" s="6" t="n">
        <x:v>90</x:v>
      </x:c>
      <x:c r="G775" s="7" t="n">
        <x:f>IF(OR(E775="",F775="",F775=0),"",ABS(E775-F775)/ABS(F775))</x:f>
        <x:v>0.1</x:v>
      </x:c>
      <x:c r="H775" s="5" t="str">
        <x:v>CLAN</x:v>
      </x:c>
    </x:row>
    <x:row r="776">
      <x:c r="A776" s="5" t="str">
        <x:v>P9</x:v>
      </x:c>
      <x:c r="B776" s="5" t="str">
        <x:v>PXL_20230511_204818926_transcription.xlsx</x:v>
      </x:c>
      <x:c r="C776" s="5" t="str">
        <x:v>PXL_20230511_204818926_transcription_corrected.txt</x:v>
      </x:c>
      <x:c r="D776" s="5" t="str">
        <x:v>total_words</x:v>
      </x:c>
      <x:c r="E776" s="6" t="n">
        <x:v>1292</x:v>
      </x:c>
      <x:c r="F776" s="6" t="n">
        <x:v>1314</x:v>
      </x:c>
      <x:c r="G776" s="7" t="n">
        <x:f>IF(OR(E776="",F776="",F776=0),"",ABS(E776-F776)/ABS(F776))</x:f>
        <x:v>0.0167427701674277</x:v>
      </x:c>
      <x:c r="H776" s="5" t="str">
        <x:v>CLAN</x:v>
      </x:c>
    </x:row>
    <x:row r="777">
      <x:c r="A777" s="5" t="str">
        <x:v>P9</x:v>
      </x:c>
      <x:c r="B777" s="5" t="str">
        <x:v>PXL_20230511_204818926_transcription.xlsx</x:v>
      </x:c>
      <x:c r="C777" s="5" t="str">
        <x:v>PXL_20230511_204818926_transcription_corrected.txt</x:v>
      </x:c>
      <x:c r="D777" s="5" t="str">
        <x:v>mlu_words</x:v>
      </x:c>
      <x:c r="E777" s="6" t="n">
        <x:v>13.05050505050505</x:v>
      </x:c>
      <x:c r="F777" s="6" t="n">
        <x:v>14.6</x:v>
      </x:c>
      <x:c r="G777" s="7" t="n">
        <x:f>IF(OR(E777="",F777="",F777=0),"",ABS(E777-F777)/ABS(F777))</x:f>
        <x:v>0.10612979106129791</x:v>
      </x:c>
      <x:c r="H777" s="5" t="str">
        <x:v>CLAN</x:v>
      </x:c>
    </x:row>
    <x:row r="778">
      <x:c r="A778" s="5" t="str">
        <x:v>P9</x:v>
      </x:c>
      <x:c r="B778" s="5" t="str">
        <x:v>PXL_20230511_204818926_transcription.xlsx</x:v>
      </x:c>
      <x:c r="C778" s="5" t="str">
        <x:v>PXL_20230511_204818926_transcription_corrected.txt</x:v>
      </x:c>
      <x:c r="D778" s="5" t="str">
        <x:v>mlu_words_sd</x:v>
      </x:c>
      <x:c r="E778" s="6" t="n">
        <x:v>6.393452675875638</x:v>
      </x:c>
      <x:c r="F778" s="6" t="n">
        <x:v>6.238</x:v>
      </x:c>
      <x:c r="G778" s="7" t="n">
        <x:f>IF(OR(E778="",F778="",F778=0),"",ABS(E778-F778)/ABS(F778))</x:f>
        <x:v>0.024920275068233022</x:v>
      </x:c>
      <x:c r="H778" s="5" t="str">
        <x:v>CLAN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.110000610351562" hidden="0" customWidth="1"/>
    <x:col min="2" max="2" width="23.329999923706055" hidden="0" customWidth="1"/>
    <x:col min="3" max="3" width="36.66999816894531" hidden="0" customWidth="1"/>
    <x:col min="4" max="4" width="47.779998779296875" hidden="0" customWidth="1"/>
    <x:col min="5" max="5" width="11.109999656677246" hidden="0" customWidth="1"/>
    <x:col min="6" max="6" width="46.66999816894531" hidden="0" customWidth="1"/>
    <x:col min="7" max="7" width="34.439998626708984" hidden="0" customWidth="1"/>
  </x:cols>
  <x:sheetData>
    <x:row r="1">
      <x:c r="A1" s="4" t="str">
        <x:v>Metric</x:v>
      </x:c>
      <x:c r="B1" s="4" t="str">
        <x:v>Display name</x:v>
      </x:c>
      <x:c r="C1" s="4" t="str">
        <x:v>Meaning</x:v>
      </x:c>
      <x:c r="D1" s="4" t="str">
        <x:v>Custom calculation/code</x:v>
      </x:c>
      <x:c r="E1" s="4" t="str">
        <x:v>Corrected reference</x:v>
      </x:c>
      <x:c r="F1" s="4" t="str">
        <x:v>Where the values came from</x:v>
      </x:c>
      <x:c r="G1" s="4" t="str">
        <x:v>Documentation</x:v>
      </x:c>
    </x:row>
    <x:row r="2" ht="51" customHeight="1">
      <x:c r="A2" s="5" t="str">
        <x:v>basic_ntokens</x:v>
      </x:c>
      <x:c r="B2" s="5" t="str">
        <x:v>Total normalized word tokens</x:v>
      </x:c>
      <x:c r="C2" s="5" t="str">
        <x:v>All included normalized lemma + part-of-speech tokens, including repetitions.</x:v>
      </x:c>
      <x:c r="D2" s="5" t="str">
        <x:v>N = len(tokens)</x:v>
      </x:c>
      <x:c r="E2" s="5" t="str">
        <x:v>TAALED</x:v>
      </x:c>
      <x:c r="F2" s="5" t="str">
        <x:v>TAALED reference field in outputs/analysis_results/corrected/comparison.json; corrected .txt transcript.</x:v>
      </x:c>
      <x:c r="G2" s="5" t="str">
        <x:v>https://lcr-ads-lab.github.io/TAALED/</x:v>
      </x:c>
    </x:row>
    <x:row r="3" ht="51" customHeight="1">
      <x:c r="A3" s="5" t="str">
        <x:v>basic_ntypes</x:v>
      </x:c>
      <x:c r="B3" s="5" t="str">
        <x:v>Different normalized word types</x:v>
      </x:c>
      <x:c r="C3" s="5" t="str">
        <x:v>Number of unique normalized lemma + part-of-speech combinations.</x:v>
      </x:c>
      <x:c r="D3" s="5" t="str">
        <x:v>V = len(set(tokens))</x:v>
      </x:c>
      <x:c r="E3" s="5" t="str">
        <x:v>TAALED</x:v>
      </x:c>
      <x:c r="F3" s="5" t="str">
        <x:v>TAALED reference field in outputs/analysis_results/corrected/comparison.json; corrected .txt transcript.</x:v>
      </x:c>
      <x:c r="G3" s="5" t="str">
        <x:v>https://lcr-ads-lab.github.io/TAALED/</x:v>
      </x:c>
    </x:row>
    <x:row r="4" ht="51" customHeight="1">
      <x:c r="A4" s="5" t="str">
        <x:v>basic_ncontent_tokens</x:v>
      </x:c>
      <x:c r="B4" s="5" t="str">
        <x:v>Content-word tokens</x:v>
      </x:c>
      <x:c r="C4" s="5" t="str">
        <x:v>Included tokens classified as nouns, proper nouns, verbs, adjectives, or selected manner adverbs.</x:v>
      </x:c>
      <x:c r="D4" s="5" t="str">
        <x:v>len([t for t in tagged_tokens if t.endswith("_cw")])</x:v>
      </x:c>
      <x:c r="E4" s="5" t="str">
        <x:v>TAALED</x:v>
      </x:c>
      <x:c r="F4" s="5" t="str">
        <x:v>TAALED reference field in outputs/analysis_results/corrected/comparison.json; corrected .txt transcript.</x:v>
      </x:c>
      <x:c r="G4" s="5" t="str">
        <x:v>https://lcr-ads-lab.github.io/TAALED/</x:v>
      </x:c>
    </x:row>
    <x:row r="5" ht="51" customHeight="1">
      <x:c r="A5" s="5" t="str">
        <x:v>basic_ncontent_types</x:v>
      </x:c>
      <x:c r="B5" s="5" t="str">
        <x:v>Different content-word types</x:v>
      </x:c>
      <x:c r="C5" s="5" t="str">
        <x:v>Unique normalized content-word lemma + part-of-speech combinations.</x:v>
      </x:c>
      <x:c r="D5" s="5" t="str">
        <x:v>len(set(t[:-3] for t in tagged_tokens if t.endswith("_cw")))</x:v>
      </x:c>
      <x:c r="E5" s="5" t="str">
        <x:v>TAALED</x:v>
      </x:c>
      <x:c r="F5" s="5" t="str">
        <x:v>TAALED reference field in outputs/analysis_results/corrected/comparison.json; corrected .txt transcript.</x:v>
      </x:c>
      <x:c r="G5" s="5" t="str">
        <x:v>https://lcr-ads-lab.github.io/TAALED/</x:v>
      </x:c>
    </x:row>
    <x:row r="6" ht="51" customHeight="1">
      <x:c r="A6" s="5" t="str">
        <x:v>basic_nfunction_tokens</x:v>
      </x:c>
      <x:c r="B6" s="5" t="str">
        <x:v>Function-word tokens</x:v>
      </x:c>
      <x:c r="C6" s="5" t="str">
        <x:v>Included tokens not classified as content words.</x:v>
      </x:c>
      <x:c r="D6" s="5" t="str">
        <x:v>len([t for t in tagged_tokens if t.endswith("_fw")])</x:v>
      </x:c>
      <x:c r="E6" s="5" t="str">
        <x:v>TAALED</x:v>
      </x:c>
      <x:c r="F6" s="5" t="str">
        <x:v>TAALED reference field in outputs/analysis_results/corrected/comparison.json; corrected .txt transcript.</x:v>
      </x:c>
      <x:c r="G6" s="5" t="str">
        <x:v>https://lcr-ads-lab.github.io/TAALED/</x:v>
      </x:c>
    </x:row>
    <x:row r="7" ht="51" customHeight="1">
      <x:c r="A7" s="5" t="str">
        <x:v>basic_nfunction_types</x:v>
      </x:c>
      <x:c r="B7" s="5" t="str">
        <x:v>Different function-word types</x:v>
      </x:c>
      <x:c r="C7" s="5" t="str">
        <x:v>Unique normalized function-word lemma + part-of-speech combinations.</x:v>
      </x:c>
      <x:c r="D7" s="5" t="str">
        <x:v>len(set(t[:-3] for t in tagged_tokens if t.endswith("_fw")))</x:v>
      </x:c>
      <x:c r="E7" s="5" t="str">
        <x:v>TAALED</x:v>
      </x:c>
      <x:c r="F7" s="5" t="str">
        <x:v>TAALED reference field in outputs/analysis_results/corrected/comparison.json; corrected .txt transcript.</x:v>
      </x:c>
      <x:c r="G7" s="5" t="str">
        <x:v>https://lcr-ads-lab.github.io/TAALED/</x:v>
      </x:c>
    </x:row>
    <x:row r="8" ht="51" customHeight="1">
      <x:c r="A8" s="5" t="str">
        <x:v>lexical_density_tokens</x:v>
      </x:c>
      <x:c r="B8" s="5" t="str">
        <x:v>Lexical density by tokens</x:v>
      </x:c>
      <x:c r="C8" s="5" t="str">
        <x:v>Proportion of normalized tokens classified as content words.</x:v>
      </x:c>
      <x:c r="D8" s="5" t="str">
        <x:v>basic_ncontent_tokens / basic_ntokens</x:v>
      </x:c>
      <x:c r="E8" s="5" t="str">
        <x:v>TAALED</x:v>
      </x:c>
      <x:c r="F8" s="5" t="str">
        <x:v>TAALED reference field in outputs/analysis_results/corrected/comparison.json; corrected .txt transcript.</x:v>
      </x:c>
      <x:c r="G8" s="5" t="str">
        <x:v>https://lcr-ads-lab.github.io/TAALED/</x:v>
      </x:c>
    </x:row>
    <x:row r="9" ht="51" customHeight="1">
      <x:c r="A9" s="5" t="str">
        <x:v>lexical_density_types</x:v>
      </x:c>
      <x:c r="B9" s="5" t="str">
        <x:v>Lexical density by types</x:v>
      </x:c>
      <x:c r="C9" s="5" t="str">
        <x:v>Proportion of normalized types classified as content-word types.</x:v>
      </x:c>
      <x:c r="D9" s="5" t="str">
        <x:v>basic_ncontent_types / basic_ntypes</x:v>
      </x:c>
      <x:c r="E9" s="5" t="str">
        <x:v>TAALED</x:v>
      </x:c>
      <x:c r="F9" s="5" t="str">
        <x:v>TAALED reference field in outputs/analysis_results/corrected/comparison.json; corrected .txt transcript.</x:v>
      </x:c>
      <x:c r="G9" s="5" t="str">
        <x:v>https://lcr-ads-lab.github.io/TAALED/</x:v>
      </x:c>
    </x:row>
    <x:row r="10" ht="51" customHeight="1">
      <x:c r="A10" s="5" t="str">
        <x:v>simple_ttr_aw</x:v>
      </x:c>
      <x:c r="B10" s="5" t="str">
        <x:v>Type-token ratio</x:v>
      </x:c>
      <x:c r="C10" s="5" t="str">
        <x:v>Proportion of different normalized types among normalized tokens.</x:v>
      </x:c>
      <x:c r="D10" s="5" t="str">
        <x:v>V / N</x:v>
      </x:c>
      <x:c r="E10" s="5" t="str">
        <x:v>TAALED</x:v>
      </x:c>
      <x:c r="F10" s="5" t="str">
        <x:v>TAALED reference field in outputs/analysis_results/corrected/comparison.json; corrected .txt transcript.</x:v>
      </x:c>
      <x:c r="G10" s="5" t="str">
        <x:v>https://lcr-ads-lab.github.io/TAALED/</x:v>
      </x:c>
    </x:row>
    <x:row r="11" ht="51" customHeight="1">
      <x:c r="A11" s="5" t="str">
        <x:v>root_ttr_aw</x:v>
      </x:c>
      <x:c r="B11" s="5" t="str">
        <x:v>Root TTR</x:v>
      </x:c>
      <x:c r="C11" s="5" t="str">
        <x:v>Type count adjusted by the square root of text length.</x:v>
      </x:c>
      <x:c r="D11" s="5" t="str">
        <x:v>V / math.sqrt(N)</x:v>
      </x:c>
      <x:c r="E11" s="5" t="str">
        <x:v>TAALED</x:v>
      </x:c>
      <x:c r="F11" s="5" t="str">
        <x:v>TAALED reference field in outputs/analysis_results/corrected/comparison.json; corrected .txt transcript.</x:v>
      </x:c>
      <x:c r="G11" s="5" t="str">
        <x:v>https://lcr-ads-lab.github.io/TAALED/</x:v>
      </x:c>
    </x:row>
    <x:row r="12" ht="51" customHeight="1">
      <x:c r="A12" s="5" t="str">
        <x:v>log_ttr_aw</x:v>
      </x:c>
      <x:c r="B12" s="5" t="str">
        <x:v>Log TTR</x:v>
      </x:c>
      <x:c r="C12" s="5" t="str">
        <x:v>Logarithmic type-token ratio (Herdan C).</x:v>
      </x:c>
      <x:c r="D12" s="5" t="str">
        <x:v>math.log10(V) / math.log10(N)</x:v>
      </x:c>
      <x:c r="E12" s="5" t="str">
        <x:v>TAALED</x:v>
      </x:c>
      <x:c r="F12" s="5" t="str">
        <x:v>TAALED reference field in outputs/analysis_results/corrected/comparison.json; corrected .txt transcript.</x:v>
      </x:c>
      <x:c r="G12" s="5" t="str">
        <x:v>https://lcr-ads-lab.github.io/TAALED/</x:v>
      </x:c>
    </x:row>
    <x:row r="13" ht="51" customHeight="1">
      <x:c r="A13" s="5" t="str">
        <x:v>maas_ttr_aw</x:v>
      </x:c>
      <x:c r="B13" s="5" t="str">
        <x:v>Maas index</x:v>
      </x:c>
      <x:c r="C13" s="5" t="str">
        <x:v>Lexical-diversity index adjusted for text length; lower values indicate greater diversity.</x:v>
      </x:c>
      <x:c r="D13" s="5" t="str">
        <x:v>(math.log10(N) - math.log10(V)) / math.log10(N)**2</x:v>
      </x:c>
      <x:c r="E13" s="5" t="str">
        <x:v>TAALED</x:v>
      </x:c>
      <x:c r="F13" s="5" t="str">
        <x:v>TAALED reference field in outputs/analysis_results/corrected/comparison.json; corrected .txt transcript.</x:v>
      </x:c>
      <x:c r="G13" s="5" t="str">
        <x:v>https://lcr-ads-lab.github.io/TAALED/</x:v>
      </x:c>
    </x:row>
    <x:row r="14" ht="51" customHeight="1">
      <x:c r="A14" s="5" t="str">
        <x:v>mattr50_aw</x:v>
      </x:c>
      <x:c r="B14" s="5" t="str">
        <x:v>MATTR-50</x:v>
      </x:c>
      <x:c r="C14" s="5" t="str">
        <x:v>Mean TTR across overlapping 50-token windows moved one token at a time.</x:v>
      </x:c>
      <x:c r="D14" s="5" t="str">
        <x:v>statistics.mean(len(set(tokens[i:i+50])) / 50 for i in range(N-49))</x:v>
      </x:c>
      <x:c r="E14" s="5" t="str">
        <x:v>TAALED</x:v>
      </x:c>
      <x:c r="F14" s="5" t="str">
        <x:v>TAALED reference field in outputs/analysis_results/corrected/comparison.json; corrected .txt transcript.</x:v>
      </x:c>
      <x:c r="G14" s="5" t="str">
        <x:v>https://lcr-ads-lab.github.io/TAALED/</x:v>
      </x:c>
    </x:row>
    <x:row r="15" ht="51" customHeight="1">
      <x:c r="A15" s="5" t="str">
        <x:v>msttr50_aw</x:v>
      </x:c>
      <x:c r="B15" s="5" t="str">
        <x:v>MSTTR-50</x:v>
      </x:c>
      <x:c r="C15" s="5" t="str">
        <x:v>Mean TTR across consecutive non-overlapping 50-token segments; the remainder is omitted.</x:v>
      </x:c>
      <x:c r="D15" s="5" t="str">
        <x:v>statistics.mean(len(set(segment)) / len(segment) for segment in 50_token_segments)</x:v>
      </x:c>
      <x:c r="E15" s="5" t="str">
        <x:v>TAALED</x:v>
      </x:c>
      <x:c r="F15" s="5" t="str">
        <x:v>TAALED reference field in outputs/analysis_results/corrected/comparison.json; corrected .txt transcript.</x:v>
      </x:c>
      <x:c r="G15" s="5" t="str">
        <x:v>https://lcr-ads-lab.github.io/TAALED/</x:v>
      </x:c>
    </x:row>
    <x:row r="16" ht="51" customHeight="1">
      <x:c r="A16" s="5" t="str">
        <x:v>hdd42_aw</x:v>
      </x:c>
      <x:c r="B16" s="5" t="str">
        <x:v>HD-D-42</x:v>
      </x:c>
      <x:c r="C16" s="5" t="str">
        <x:v>Expected lexical diversity in a random sample of 42 tokens, using the hypergeometric distribution.</x:v>
      </x:c>
      <x:c r="D16" s="5" t="str">
        <x:v>sum((1 - comb(N-f, 42) / comb(N, 42)) / 42 for f in type_frequencies)</x:v>
      </x:c>
      <x:c r="E16" s="5" t="str">
        <x:v>TAALED</x:v>
      </x:c>
      <x:c r="F16" s="5" t="str">
        <x:v>TAALED reference field in outputs/analysis_results/corrected/comparison.json; corrected .txt transcript.</x:v>
      </x:c>
      <x:c r="G16" s="5" t="str">
        <x:v>https://lcr-ads-lab.github.io/TAALED/</x:v>
      </x:c>
    </x:row>
    <x:row r="17" ht="51" customHeight="1">
      <x:c r="A17" s="5" t="str">
        <x:v>mtld_original_aw</x:v>
      </x:c>
      <x:c r="B17" s="5" t="str">
        <x:v>MTLD original</x:v>
      </x:c>
      <x:c r="C17" s="5" t="str">
        <x:v>Mean forward/backward text length needed for TTR to fall below 0.720, with a proportional final factor.</x:v>
      </x:c>
      <x:c r="D17" s="5" t="str">
        <x:v>mean(sum(factor_lengths) / sum(factor_proportions) for forward_and_reverse_tokens)</x:v>
      </x:c>
      <x:c r="E17" s="5" t="str">
        <x:v>TAALED</x:v>
      </x:c>
      <x:c r="F17" s="5" t="str">
        <x:v>TAALED reference field in outputs/analysis_results/corrected/comparison.json; corrected .txt transcript.</x:v>
      </x:c>
      <x:c r="G17" s="5" t="str">
        <x:v>https://lcr-ads-lab.github.io/TAALED/</x:v>
      </x:c>
    </x:row>
    <x:row r="18" ht="51" customHeight="1">
      <x:c r="A18" s="5" t="str">
        <x:v>mtld_mean_factor_length_aw</x:v>
      </x:c>
      <x:c r="B18" s="5" t="str">
        <x:v>MTLD mean factor length</x:v>
      </x:c>
      <x:c r="C18" s="5" t="str">
        <x:v>Mean adjusted factor length across forward and reverse MTLD factors.</x:v>
      </x:c>
      <x:c r="D18" s="5" t="str">
        <x:v>statistics.mean(length / proportion for length, proportion in forward_and_reverse_factors)</x:v>
      </x:c>
      <x:c r="E18" s="5" t="str">
        <x:v>TAALED</x:v>
      </x:c>
      <x:c r="F18" s="5" t="str">
        <x:v>TAALED reference field in outputs/analysis_results/corrected/comparison.json; corrected .txt transcript.</x:v>
      </x:c>
      <x:c r="G18" s="5" t="str">
        <x:v>https://lcr-ads-lab.github.io/TAALED/</x:v>
      </x:c>
    </x:row>
    <x:row r="19" ht="51" customHeight="1">
      <x:c r="A19" s="5" t="str">
        <x:v>total_utterances</x:v>
      </x:c>
      <x:c r="B19" s="5" t="str">
        <x:v>Eligible utterances</x:v>
      </x:c>
      <x:c r="C19" s="5" t="str">
        <x:v>Automatically predicted uncorrected utterances included after filler and unintelligibility rules; compared with CLAN corrected utterance count.</x:v>
      </x:c>
      <x:c r="D19" s="5" t="str">
        <x:v>len(eligible_utterances)</x:v>
      </x:c>
      <x:c r="E19" s="5" t="str">
        <x:v>CLAN</x:v>
      </x:c>
      <x:c r="F19" s="5" t="str">
        <x:v>CLAN .mlu.cex output in conference_paper/CLAN_corrected_transcripts; corrected .cha transcript.</x:v>
      </x:c>
      <x:c r="G19" s="5" t="str">
        <x:v>https://talkbank.org/0info/manuals/CLAN.html#7.21</x:v>
      </x:c>
    </x:row>
    <x:row r="20" ht="51" customHeight="1">
      <x:c r="A20" s="5" t="str">
        <x:v>total_words</x:v>
      </x:c>
      <x:c r="B20" s="5" t="str">
        <x:v>Words used for MLU</x:v>
      </x:c>
      <x:c r="C20" s="5" t="str">
        <x:v>Included surface words across eligible utterances; repetitions and numbers retained, listed fillers removed.</x:v>
      </x:c>
      <x:c r="D20" s="5" t="str">
        <x:v>sum(words_per_utterance)</x:v>
      </x:c>
      <x:c r="E20" s="5" t="str">
        <x:v>CLAN</x:v>
      </x:c>
      <x:c r="F20" s="5" t="str">
        <x:v>CLAN .mlu.cex output in conference_paper/CLAN_corrected_transcripts; corrected .cha transcript.</x:v>
      </x:c>
      <x:c r="G20" s="5" t="str">
        <x:v>https://talkbank.org/0info/manuals/CLAN.html#7.21</x:v>
      </x:c>
    </x:row>
    <x:row r="21" ht="51" customHeight="1">
      <x:c r="A21" s="5" t="str">
        <x:v>mlu_words</x:v>
      </x:c>
      <x:c r="B21" s="5" t="str">
        <x:v>Mean length of utterance in words</x:v>
      </x:c>
      <x:c r="C21" s="5" t="str">
        <x:v>Average included surface-word count per eligible utterance.</x:v>
      </x:c>
      <x:c r="D21" s="5" t="str">
        <x:v>total_words / total_utterances</x:v>
      </x:c>
      <x:c r="E21" s="5" t="str">
        <x:v>CLAN</x:v>
      </x:c>
      <x:c r="F21" s="5" t="str">
        <x:v>CLAN .mlu.cex output in conference_paper/CLAN_corrected_transcripts; corrected .cha transcript.</x:v>
      </x:c>
      <x:c r="G21" s="5" t="str">
        <x:v>https://talkbank.org/0info/manuals/CLAN.html#7.21</x:v>
      </x:c>
    </x:row>
    <x:row r="22" ht="51" customHeight="1">
      <x:c r="A22" s="5" t="str">
        <x:v>mlu_words_sd</x:v>
      </x:c>
      <x:c r="B22" s="5" t="str">
        <x:v>Utterance-length population SD</x:v>
      </x:c>
      <x:c r="C22" s="5" t="str">
        <x:v>Population standard deviation of included surface-word counts across eligible utterances.</x:v>
      </x:c>
      <x:c r="D22" s="5" t="str">
        <x:v>statistics.pstdev(words_per_utterance)</x:v>
      </x:c>
      <x:c r="E22" s="5" t="str">
        <x:v>CLAN</x:v>
      </x:c>
      <x:c r="F22" s="5" t="str">
        <x:v>CLAN .mlu.cex output in conference_paper/CLAN_corrected_transcripts; corrected .cha transcript.</x:v>
      </x:c>
      <x:c r="G22" s="5" t="str">
        <x:v>https://talkbank.org/0info/manuals/CLAN.html#7.21</x:v>
      </x:c>
    </x:row>
    <x:row r="23">
      <x:c r="A23" s="5"/>
      <x:c r="B23" s="5"/>
      <x:c r="C23" s="5"/>
      <x:c r="D23" s="5"/>
      <x:c r="E23" s="5"/>
      <x:c r="F23" s="5"/>
      <x:c r="G23" s="5"/>
    </x:row>
    <x:row r="24">
      <x:c r="A24" s="5" t="str">
        <x:v>Custom lexical implementation</x:v>
      </x:c>
      <x:c r="B24" s="5" t="str">
        <x:v>custom_speech_pipeline.py: preprocessing and metric functions.</x:v>
      </x:c>
      <x:c r="C24" s="5"/>
      <x:c r="D24" s="5"/>
      <x:c r="E24" s="5"/>
      <x:c r="F24" s="5"/>
      <x:c r="G24" s="5"/>
    </x:row>
    <x:row r="25">
      <x:c r="A25" s="5" t="str">
        <x:v>Custom utterance implementation</x:v>
      </x:c>
      <x:c r="B25" s="5" t="str">
        <x:v>automatic_utterances.py: target-speaker segmentation, exclusions, word counts, and MLUw.</x:v>
      </x:c>
      <x:c r="C25" s="5"/>
      <x:c r="D25" s="5"/>
      <x:c r="E25" s="5"/>
      <x:c r="F25" s="5"/>
      <x:c r="G25" s="5"/>
    </x:row>
    <x:row r="26">
      <x:c r="A26" s="5" t="str">
        <x:v>CHAT segmentation documentation</x:v>
      </x:c>
      <x:c r="B26" s="5" t="str">
        <x:v>https://talkbank.org/0info/manuals/CHAT.html</x:v>
      </x:c>
      <x:c r="C26" s="5"/>
      <x:c r="D26" s="5"/>
      <x:c r="E26" s="5"/>
      <x:c r="F26" s="5"/>
      <x:c r="G26" s="5"/>
    </x:row>
    <x:row r="27">
      <x:c r="A27" s="5" t="str">
        <x:v>TAALED preprocessing note</x:v>
      </x:c>
      <x:c r="B27" s="5" t="str">
        <x:v>TAALED accepts preprocessed token lists; this project uses pylats for the corrected TAALED reference.</x:v>
      </x:c>
      <x:c r="C27" s="5"/>
      <x:c r="D27" s="5"/>
      <x:c r="E27" s="5"/>
      <x:c r="F27" s="5"/>
      <x:c r="G27" s="5"/>
    </x:row>
  </x:sheetData>
  <x:pageMargins left="0.7" right="0.7" top="0.75" bottom="0.75" header="0.3" footer="0.3"/>
</x:worksheet>
</file>